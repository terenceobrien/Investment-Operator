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17"/>
  <workbookPr/>
  <mc:AlternateContent xmlns:mc="http://schemas.openxmlformats.org/markup-compatibility/2006">
    <mc:Choice Requires="x15">
      <x15ac:absPath xmlns:x15ac="http://schemas.microsoft.com/office/spreadsheetml/2010/11/ac" url="/Users/terenceobrien/AI_Financial_Operator/risk/current/"/>
    </mc:Choice>
  </mc:AlternateContent>
  <xr:revisionPtr revIDLastSave="0" documentId="13_ncr:1_{EF9E3227-6D58-1043-BF2D-A322B0806757}" xr6:coauthVersionLast="47" xr6:coauthVersionMax="47" xr10:uidLastSave="{00000000-0000-0000-0000-000000000000}"/>
  <bookViews>
    <workbookView xWindow="0" yWindow="660" windowWidth="30240" windowHeight="17260" activeTab="3" xr2:uid="{00000000-000D-0000-FFFF-FFFF00000000}"/>
  </bookViews>
  <sheets>
    <sheet name="Summary" sheetId="1" r:id="rId1"/>
    <sheet name="Positions" sheetId="2" r:id="rId2"/>
    <sheet name="Factor Loadings" sheetId="3" r:id="rId3"/>
    <sheet name="Risk Decomposition" sheetId="4" r:id="rId4"/>
    <sheet name="Breadth" sheetId="5" r:id="rId5"/>
    <sheet name="Stress Test" sheetId="6" r:id="rId6"/>
    <sheet name="Factor Covariance" sheetId="7" r:id="rId7"/>
    <sheet name="Sheet1" sheetId="8" r:id="rId8"/>
  </sheets>
  <calcPr calcId="191029" forceFullCalc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28" i="8" l="1"/>
  <c r="M28" i="8"/>
  <c r="L28" i="8"/>
  <c r="K28" i="8"/>
  <c r="J28" i="8"/>
  <c r="I28" i="8"/>
  <c r="H28" i="8"/>
  <c r="P26" i="8" l="1"/>
  <c r="P23" i="8"/>
  <c r="P19" i="8"/>
  <c r="P20" i="8"/>
  <c r="P21" i="8"/>
  <c r="P22" i="8"/>
  <c r="P24" i="8"/>
  <c r="P25" i="8"/>
  <c r="P18" i="8"/>
</calcChain>
</file>

<file path=xl/sharedStrings.xml><?xml version="1.0" encoding="utf-8"?>
<sst xmlns="http://schemas.openxmlformats.org/spreadsheetml/2006/main" count="208" uniqueCount="92">
  <si>
    <t>Portfolio Risk Summary</t>
  </si>
  <si>
    <t>Generated 2026-08-21 09:01  |  estimation window per model tab</t>
  </si>
  <si>
    <t>Total account value</t>
  </si>
  <si>
    <t>Invested (equities)</t>
  </si>
  <si>
    <t>Cash / core</t>
  </si>
  <si>
    <t>Invested fraction</t>
  </si>
  <si>
    <t>Cash fraction</t>
  </si>
  <si>
    <t>Factor Exposures (invested sleeve)</t>
  </si>
  <si>
    <t>MKT</t>
  </si>
  <si>
    <t>AI</t>
  </si>
  <si>
    <t>MOM</t>
  </si>
  <si>
    <t>QUAL</t>
  </si>
  <si>
    <t>VAL</t>
  </si>
  <si>
    <t>SIZE</t>
  </si>
  <si>
    <t>LOWVOL</t>
  </si>
  <si>
    <t>Breadth</t>
  </si>
  <si>
    <t>Effective independent bets</t>
  </si>
  <si>
    <t>Effective annual breadth</t>
  </si>
  <si>
    <t>Stress Test</t>
  </si>
  <si>
    <t>MKT -10% shock, vols x1.5, corr floored at 0.5</t>
  </si>
  <si>
    <t>Stressed total vol (annual)</t>
  </si>
  <si>
    <t>Implied sleeve drawdown</t>
  </si>
  <si>
    <t>Implied whole-book drawdown</t>
  </si>
  <si>
    <t>Positions</t>
  </si>
  <si>
    <t>Ticker</t>
  </si>
  <si>
    <t>Weight</t>
  </si>
  <si>
    <t>Value ($)</t>
  </si>
  <si>
    <t>MRK</t>
  </si>
  <si>
    <t>PYPL</t>
  </si>
  <si>
    <t>MSFT</t>
  </si>
  <si>
    <t>QQQ</t>
  </si>
  <si>
    <t>JPM</t>
  </si>
  <si>
    <t>CVX</t>
  </si>
  <si>
    <t>RSP</t>
  </si>
  <si>
    <t>XLI</t>
  </si>
  <si>
    <t>XLV</t>
  </si>
  <si>
    <t>IWM</t>
  </si>
  <si>
    <t>V</t>
  </si>
  <si>
    <t>GLD</t>
  </si>
  <si>
    <t>DLR</t>
  </si>
  <si>
    <t>EQIX</t>
  </si>
  <si>
    <t>SLV</t>
  </si>
  <si>
    <t>CASH</t>
  </si>
  <si>
    <t>Per-Name Factor Loadings</t>
  </si>
  <si>
    <t>Window: 252 periods  |  R2 mean 0.44 / min 0.11</t>
  </si>
  <si>
    <t>ticker</t>
  </si>
  <si>
    <t>r2</t>
  </si>
  <si>
    <t>specific_var</t>
  </si>
  <si>
    <t>Factor Covariance Risk Decomposition</t>
  </si>
  <si>
    <t>RAW (sample cov)</t>
  </si>
  <si>
    <t>Total vol (annual)</t>
  </si>
  <si>
    <t>Factor vol</t>
  </si>
  <si>
    <t>Specific vol</t>
  </si>
  <si>
    <t>Factor share of variance</t>
  </si>
  <si>
    <t>Specific share of variance</t>
  </si>
  <si>
    <t>factor</t>
  </si>
  <si>
    <t>exposure</t>
  </si>
  <si>
    <t>risk_contribution</t>
  </si>
  <si>
    <t>pct_of_total_var</t>
  </si>
  <si>
    <t>EWMA (recent-weighted)</t>
  </si>
  <si>
    <t>Portfolio Breadth (independent bets)</t>
  </si>
  <si>
    <t>Effective N (eigenvalue) is the reliable measure; avg-corr is a conservative floor.</t>
  </si>
  <si>
    <t>Avg pairwise correlation</t>
  </si>
  <si>
    <t>Effective N (avg-corr)</t>
  </si>
  <si>
    <t>Effective N (eigenvalue)</t>
  </si>
  <si>
    <t>Concentration ratio</t>
  </si>
  <si>
    <t>Top principal component</t>
  </si>
  <si>
    <t>Decisions per year</t>
  </si>
  <si>
    <t>Implied Information Ratio (Fundamental Law IR = IC x sqrt(BR))</t>
  </si>
  <si>
    <t>Reference: good IC 0.05, great 0.10, world-class 0.15; IR&gt;1.0 reached by ~10% of managers.</t>
  </si>
  <si>
    <t>IC (skill)</t>
  </si>
  <si>
    <t>Implied IR</t>
  </si>
  <si>
    <t>Base factor vol (annual)</t>
  </si>
  <si>
    <t>Stressed factor vol</t>
  </si>
  <si>
    <t>Stressed total vol</t>
  </si>
  <si>
    <t>Vol scale</t>
  </si>
  <si>
    <t>Correlation floor</t>
  </si>
  <si>
    <t>Drawdown Contribution by Factor</t>
  </si>
  <si>
    <t>raw_exposure</t>
  </si>
  <si>
    <t>cond_factor_move</t>
  </si>
  <si>
    <t>contribution_to_drawdown</t>
  </si>
  <si>
    <t>Factor Covariance Matrix (periodic)</t>
  </si>
  <si>
    <t>Factor Correlation Matrix</t>
  </si>
  <si>
    <t>episode_id</t>
  </si>
  <si>
    <t>threat_start_date</t>
  </si>
  <si>
    <t>peak_date</t>
  </si>
  <si>
    <t>trough_date</t>
  </si>
  <si>
    <t>SPY_peak_to_trough_pct</t>
  </si>
  <si>
    <t>full_factor_coverage</t>
  </si>
  <si>
    <t>factor_trading_days</t>
  </si>
  <si>
    <t>NO</t>
  </si>
  <si>
    <t>YES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</si>
</sst>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9">
    <numFmt numFmtId="43" formatCode="_(* #,##0.00_);_(* \(#,##0.00\);_(* &quot;-&quot;??_);_(@_)"/>
    <numFmt numFmtId="164" formatCode="\$#,##0.00"/>
    <numFmt numFmtId="165" formatCode="0.0%"/>
    <numFmt numFmtId="166" formatCode="0.0"/>
    <numFmt numFmtId="167" formatCode="0.000000"/>
    <numFmt numFmtId="168" formatCode="0.000"/>
    <numFmt numFmtId="169" formatCode="0.0&quot;x&quot;"/>
    <numFmt numFmtId="170" formatCode="0.000000000000000%"/>
    <numFmt numFmtId="171" formatCode="0.0000000000000000%"/>
  </numFmts>
  <fonts count="11" x14ac:knownFonts="1">
    <font>
      <sz val="11"/>
      <color theme="1"/>
      <name val="Calibri"/>
      <family val="2"/>
      <scheme val="minor"/>
    </font>
    <font>
      <b/>
      <sz val="13"/>
      <color rgb="FF9580D4"/>
      <name val="Arial"/>
      <family val="2"/>
    </font>
    <font>
      <i/>
      <sz val="9"/>
      <color rgb="FF6A6A78"/>
      <name val="Arial"/>
      <family val="2"/>
    </font>
    <font>
      <b/>
      <sz val="10"/>
      <name val="Arial"/>
      <family val="2"/>
    </font>
    <font>
      <b/>
      <sz val="10"/>
      <color rgb="FF00000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sz val="10"/>
      <color rgb="FFB85555"/>
      <name val="Arial"/>
      <family val="2"/>
    </font>
    <font>
      <b/>
      <sz val="10"/>
      <color rgb="FFB85555"/>
      <name val="Arial"/>
      <family val="2"/>
    </font>
    <font>
      <b/>
      <sz val="10"/>
      <color rgb="FFFFFFFF"/>
      <name val="Arial"/>
      <family val="2"/>
    </font>
    <font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1A1A22"/>
      </patternFill>
    </fill>
  </fills>
  <borders count="2">
    <border>
      <left/>
      <right/>
      <top/>
      <bottom/>
      <diagonal/>
    </border>
    <border>
      <left/>
      <right/>
      <top/>
      <bottom style="thin">
        <color rgb="FF3A3A44"/>
      </bottom>
      <diagonal/>
    </border>
  </borders>
  <cellStyleXfs count="2">
    <xf numFmtId="0" fontId="0" fillId="0" borderId="0"/>
    <xf numFmtId="43" fontId="10" fillId="0" borderId="0" applyFont="0" applyFill="0" applyBorder="0" applyAlignment="0" applyProtection="0"/>
  </cellStyleXfs>
  <cellXfs count="32">
    <xf numFmtId="0" fontId="0" fillId="0" borderId="0" xfId="0"/>
    <xf numFmtId="0" fontId="3" fillId="0" borderId="0" xfId="0" applyFont="1"/>
    <xf numFmtId="164" fontId="4" fillId="0" borderId="0" xfId="0" applyNumberFormat="1" applyFont="1" applyAlignment="1">
      <alignment horizontal="right"/>
    </xf>
    <xf numFmtId="0" fontId="5" fillId="0" borderId="0" xfId="0" applyFont="1"/>
    <xf numFmtId="164" fontId="6" fillId="0" borderId="0" xfId="0" applyNumberFormat="1" applyFont="1" applyAlignment="1">
      <alignment horizontal="right"/>
    </xf>
    <xf numFmtId="165" fontId="6" fillId="0" borderId="0" xfId="0" applyNumberFormat="1" applyFont="1" applyAlignment="1">
      <alignment horizontal="right"/>
    </xf>
    <xf numFmtId="2" fontId="6" fillId="0" borderId="0" xfId="0" applyNumberFormat="1" applyFont="1" applyAlignment="1">
      <alignment horizontal="right"/>
    </xf>
    <xf numFmtId="2" fontId="7" fillId="0" borderId="0" xfId="0" applyNumberFormat="1" applyFont="1" applyAlignment="1">
      <alignment horizontal="right"/>
    </xf>
    <xf numFmtId="166" fontId="4" fillId="0" borderId="0" xfId="0" applyNumberFormat="1" applyFont="1" applyAlignment="1">
      <alignment horizontal="right"/>
    </xf>
    <xf numFmtId="166" fontId="6" fillId="0" borderId="0" xfId="0" applyNumberFormat="1" applyFont="1" applyAlignment="1">
      <alignment horizontal="right"/>
    </xf>
    <xf numFmtId="165" fontId="8" fillId="0" borderId="0" xfId="0" applyNumberFormat="1" applyFont="1" applyAlignment="1">
      <alignment horizontal="right"/>
    </xf>
    <xf numFmtId="0" fontId="9" fillId="2" borderId="1" xfId="0" applyFont="1" applyFill="1" applyBorder="1" applyAlignment="1">
      <alignment horizontal="center" vertical="center"/>
    </xf>
    <xf numFmtId="0" fontId="5" fillId="0" borderId="0" xfId="0" applyFont="1" applyAlignment="1">
      <alignment horizontal="left"/>
    </xf>
    <xf numFmtId="165" fontId="5" fillId="0" borderId="0" xfId="0" applyNumberFormat="1" applyFont="1" applyAlignment="1">
      <alignment horizontal="right"/>
    </xf>
    <xf numFmtId="164" fontId="5" fillId="0" borderId="0" xfId="0" applyNumberFormat="1" applyFont="1" applyAlignment="1">
      <alignment horizontal="right"/>
    </xf>
    <xf numFmtId="2" fontId="5" fillId="0" borderId="0" xfId="0" applyNumberFormat="1" applyFont="1" applyAlignment="1">
      <alignment horizontal="right"/>
    </xf>
    <xf numFmtId="167" fontId="5" fillId="0" borderId="0" xfId="0" applyNumberFormat="1" applyFont="1" applyAlignment="1">
      <alignment horizontal="right"/>
    </xf>
    <xf numFmtId="168" fontId="7" fillId="0" borderId="0" xfId="0" applyNumberFormat="1" applyFont="1" applyAlignment="1">
      <alignment horizontal="right"/>
    </xf>
    <xf numFmtId="168" fontId="5" fillId="0" borderId="0" xfId="0" applyNumberFormat="1" applyFont="1" applyAlignment="1">
      <alignment horizontal="right"/>
    </xf>
    <xf numFmtId="165" fontId="4" fillId="0" borderId="0" xfId="0" applyNumberFormat="1" applyFont="1" applyAlignment="1">
      <alignment horizontal="right"/>
    </xf>
    <xf numFmtId="167" fontId="7" fillId="0" borderId="0" xfId="0" applyNumberFormat="1" applyFont="1" applyAlignment="1">
      <alignment horizontal="right"/>
    </xf>
    <xf numFmtId="165" fontId="7" fillId="0" borderId="0" xfId="0" applyNumberFormat="1" applyFont="1" applyAlignment="1">
      <alignment horizontal="right"/>
    </xf>
    <xf numFmtId="1" fontId="6" fillId="0" borderId="0" xfId="0" applyNumberFormat="1" applyFont="1" applyAlignment="1">
      <alignment horizontal="right"/>
    </xf>
    <xf numFmtId="169" fontId="6" fillId="0" borderId="0" xfId="0" applyNumberFormat="1" applyFont="1" applyAlignment="1">
      <alignment horizontal="right"/>
    </xf>
    <xf numFmtId="170" fontId="0" fillId="0" borderId="0" xfId="0" applyNumberFormat="1"/>
    <xf numFmtId="43" fontId="0" fillId="0" borderId="0" xfId="1" applyFont="1"/>
    <xf numFmtId="171" fontId="0" fillId="0" borderId="0" xfId="0" applyNumberFormat="1"/>
    <xf numFmtId="14" fontId="0" fillId="0" borderId="0" xfId="0" applyNumberFormat="1"/>
    <xf numFmtId="43" fontId="0" fillId="0" borderId="0" xfId="0" applyNumberFormat="1"/>
    <xf numFmtId="0" fontId="2" fillId="0" borderId="0" xfId="0" applyFont="1"/>
    <xf numFmtId="0" fontId="0" fillId="0" borderId="0" xfId="0"/>
    <xf numFmtId="0" fontId="1" fillId="0" borderId="0" xfId="0" applyFont="1"/>
  </cellXfs>
  <cellStyles count="2">
    <cellStyle name="Comma" xfId="1" builtinId="3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27"/>
  <sheetViews>
    <sheetView zoomScale="138" workbookViewId="0">
      <selection activeCell="E8" sqref="E8"/>
    </sheetView>
  </sheetViews>
  <sheetFormatPr baseColWidth="10" defaultColWidth="8.83203125" defaultRowHeight="15" x14ac:dyDescent="0.2"/>
  <cols>
    <col min="1" max="1" width="34" customWidth="1"/>
    <col min="2" max="2" width="18" customWidth="1"/>
    <col min="4" max="4" width="10" customWidth="1"/>
  </cols>
  <sheetData>
    <row r="1" spans="1:6" ht="17" x14ac:dyDescent="0.2">
      <c r="A1" s="31" t="s">
        <v>0</v>
      </c>
      <c r="B1" s="30"/>
      <c r="C1" s="30"/>
      <c r="D1" s="30"/>
      <c r="E1" s="30"/>
      <c r="F1" s="30"/>
    </row>
    <row r="2" spans="1:6" x14ac:dyDescent="0.2">
      <c r="A2" s="29" t="s">
        <v>1</v>
      </c>
      <c r="B2" s="30"/>
      <c r="C2" s="30"/>
      <c r="D2" s="30"/>
      <c r="E2" s="30"/>
      <c r="F2" s="30"/>
    </row>
    <row r="4" spans="1:6" x14ac:dyDescent="0.2">
      <c r="A4" s="1" t="s">
        <v>2</v>
      </c>
      <c r="B4" s="2">
        <v>20741.13</v>
      </c>
    </row>
    <row r="5" spans="1:6" x14ac:dyDescent="0.2">
      <c r="A5" s="3" t="s">
        <v>3</v>
      </c>
      <c r="B5" s="4">
        <v>17249.810000000001</v>
      </c>
    </row>
    <row r="6" spans="1:6" x14ac:dyDescent="0.2">
      <c r="A6" s="3" t="s">
        <v>4</v>
      </c>
      <c r="B6" s="4">
        <v>3491.32</v>
      </c>
    </row>
    <row r="7" spans="1:6" x14ac:dyDescent="0.2">
      <c r="A7" s="3" t="s">
        <v>5</v>
      </c>
      <c r="B7" s="5">
        <v>0.83167165916225394</v>
      </c>
    </row>
    <row r="8" spans="1:6" x14ac:dyDescent="0.2">
      <c r="A8" s="3" t="s">
        <v>6</v>
      </c>
      <c r="B8" s="5">
        <v>0.16832834083774609</v>
      </c>
    </row>
    <row r="10" spans="1:6" ht="17" x14ac:dyDescent="0.2">
      <c r="A10" s="31" t="s">
        <v>7</v>
      </c>
      <c r="B10" s="30"/>
      <c r="C10" s="30"/>
      <c r="D10" s="30"/>
      <c r="E10" s="30"/>
      <c r="F10" s="30"/>
    </row>
    <row r="11" spans="1:6" x14ac:dyDescent="0.2">
      <c r="A11" s="3" t="s">
        <v>8</v>
      </c>
      <c r="B11" s="6">
        <v>0.75022948994875527</v>
      </c>
    </row>
    <row r="12" spans="1:6" x14ac:dyDescent="0.2">
      <c r="A12" s="3" t="s">
        <v>9</v>
      </c>
      <c r="B12" s="7">
        <v>-0.20412289072368769</v>
      </c>
    </row>
    <row r="13" spans="1:6" x14ac:dyDescent="0.2">
      <c r="A13" s="3" t="s">
        <v>10</v>
      </c>
      <c r="B13" s="7">
        <v>-6.1501563512325587E-2</v>
      </c>
    </row>
    <row r="14" spans="1:6" x14ac:dyDescent="0.2">
      <c r="A14" s="3" t="s">
        <v>11</v>
      </c>
      <c r="B14" s="6">
        <v>0.28688916792646768</v>
      </c>
    </row>
    <row r="15" spans="1:6" x14ac:dyDescent="0.2">
      <c r="A15" s="3" t="s">
        <v>12</v>
      </c>
      <c r="B15" s="6">
        <v>0.1526052721309526</v>
      </c>
    </row>
    <row r="16" spans="1:6" x14ac:dyDescent="0.2">
      <c r="A16" s="3" t="s">
        <v>13</v>
      </c>
      <c r="B16" s="6">
        <v>0.12577227239562311</v>
      </c>
    </row>
    <row r="17" spans="1:6" x14ac:dyDescent="0.2">
      <c r="A17" s="3" t="s">
        <v>14</v>
      </c>
      <c r="B17" s="6">
        <v>0.23301598423819089</v>
      </c>
    </row>
    <row r="19" spans="1:6" ht="17" x14ac:dyDescent="0.2">
      <c r="A19" s="31" t="s">
        <v>15</v>
      </c>
      <c r="B19" s="30"/>
      <c r="C19" s="30"/>
      <c r="D19" s="30"/>
      <c r="E19" s="30"/>
      <c r="F19" s="30"/>
    </row>
    <row r="20" spans="1:6" x14ac:dyDescent="0.2">
      <c r="A20" s="1" t="s">
        <v>16</v>
      </c>
      <c r="B20" s="8">
        <v>8.1309244115660313</v>
      </c>
    </row>
    <row r="21" spans="1:6" x14ac:dyDescent="0.2">
      <c r="A21" s="3" t="s">
        <v>17</v>
      </c>
      <c r="B21" s="9">
        <v>32.523697646264132</v>
      </c>
    </row>
    <row r="23" spans="1:6" ht="17" x14ac:dyDescent="0.2">
      <c r="A23" s="31" t="s">
        <v>18</v>
      </c>
      <c r="B23" s="30"/>
      <c r="C23" s="30"/>
      <c r="D23" s="30"/>
      <c r="E23" s="30"/>
      <c r="F23" s="30"/>
    </row>
    <row r="24" spans="1:6" x14ac:dyDescent="0.2">
      <c r="A24" s="29" t="s">
        <v>19</v>
      </c>
      <c r="B24" s="30"/>
      <c r="C24" s="30"/>
      <c r="D24" s="30"/>
      <c r="E24" s="30"/>
      <c r="F24" s="30"/>
    </row>
    <row r="25" spans="1:6" x14ac:dyDescent="0.2">
      <c r="A25" s="3" t="s">
        <v>20</v>
      </c>
      <c r="B25" s="5">
        <v>0.16677025401632081</v>
      </c>
    </row>
    <row r="26" spans="1:6" x14ac:dyDescent="0.2">
      <c r="A26" s="1" t="s">
        <v>21</v>
      </c>
      <c r="B26" s="10">
        <v>-6.3047149223378632E-2</v>
      </c>
      <c r="D26" s="26"/>
    </row>
    <row r="27" spans="1:6" x14ac:dyDescent="0.2">
      <c r="A27" s="1" t="s">
        <v>22</v>
      </c>
      <c r="B27" s="10">
        <v>-5.2434527200057507E-2</v>
      </c>
    </row>
  </sheetData>
  <mergeCells count="6">
    <mergeCell ref="A24:F24"/>
    <mergeCell ref="A2:F2"/>
    <mergeCell ref="A10:F10"/>
    <mergeCell ref="A19:F19"/>
    <mergeCell ref="A1:F1"/>
    <mergeCell ref="A23:F2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F19"/>
  <sheetViews>
    <sheetView workbookViewId="0">
      <selection sqref="A1:F1"/>
    </sheetView>
  </sheetViews>
  <sheetFormatPr baseColWidth="10" defaultColWidth="8.83203125" defaultRowHeight="15" x14ac:dyDescent="0.2"/>
  <cols>
    <col min="1" max="1" width="8" customWidth="1"/>
    <col min="2" max="2" width="22" customWidth="1"/>
    <col min="3" max="3" width="20" customWidth="1"/>
  </cols>
  <sheetData>
    <row r="1" spans="1:6" ht="17" x14ac:dyDescent="0.2">
      <c r="A1" s="31" t="s">
        <v>23</v>
      </c>
      <c r="B1" s="30"/>
      <c r="C1" s="30"/>
      <c r="D1" s="30"/>
      <c r="E1" s="30"/>
      <c r="F1" s="30"/>
    </row>
    <row r="3" spans="1:6" x14ac:dyDescent="0.2">
      <c r="A3" s="11" t="s">
        <v>24</v>
      </c>
      <c r="B3" s="11" t="s">
        <v>25</v>
      </c>
      <c r="C3" s="11" t="s">
        <v>26</v>
      </c>
    </row>
    <row r="4" spans="1:6" x14ac:dyDescent="0.2">
      <c r="A4" s="12" t="s">
        <v>27</v>
      </c>
      <c r="B4" s="13">
        <v>8.2875908882495783E-2</v>
      </c>
      <c r="C4" s="14">
        <v>1718.94</v>
      </c>
    </row>
    <row r="5" spans="1:6" x14ac:dyDescent="0.2">
      <c r="A5" s="12" t="s">
        <v>28</v>
      </c>
      <c r="B5" s="13">
        <v>7.6854539747834363E-2</v>
      </c>
      <c r="C5" s="14">
        <v>1594.05</v>
      </c>
    </row>
    <row r="6" spans="1:6" x14ac:dyDescent="0.2">
      <c r="A6" s="12" t="s">
        <v>29</v>
      </c>
      <c r="B6" s="13">
        <v>7.0219896408729901E-2</v>
      </c>
      <c r="C6" s="14">
        <v>1456.44</v>
      </c>
    </row>
    <row r="7" spans="1:6" x14ac:dyDescent="0.2">
      <c r="A7" s="12" t="s">
        <v>30</v>
      </c>
      <c r="B7" s="13">
        <v>6.8910420984777593E-2</v>
      </c>
      <c r="C7" s="14">
        <v>1429.28</v>
      </c>
    </row>
    <row r="8" spans="1:6" x14ac:dyDescent="0.2">
      <c r="A8" s="12" t="s">
        <v>31</v>
      </c>
      <c r="B8" s="13">
        <v>6.8063794017008711E-2</v>
      </c>
      <c r="C8" s="14">
        <v>1411.72</v>
      </c>
    </row>
    <row r="9" spans="1:6" x14ac:dyDescent="0.2">
      <c r="A9" s="12" t="s">
        <v>32</v>
      </c>
      <c r="B9" s="13">
        <v>6.5901906019585246E-2</v>
      </c>
      <c r="C9" s="14">
        <v>1366.88</v>
      </c>
    </row>
    <row r="10" spans="1:6" x14ac:dyDescent="0.2">
      <c r="A10" s="12" t="s">
        <v>33</v>
      </c>
      <c r="B10" s="13">
        <v>6.4217330492600935E-2</v>
      </c>
      <c r="C10" s="14">
        <v>1331.94</v>
      </c>
    </row>
    <row r="11" spans="1:6" x14ac:dyDescent="0.2">
      <c r="A11" s="12" t="s">
        <v>34</v>
      </c>
      <c r="B11" s="13">
        <v>5.960668488168195E-2</v>
      </c>
      <c r="C11" s="14">
        <v>1236.31</v>
      </c>
    </row>
    <row r="12" spans="1:6" x14ac:dyDescent="0.2">
      <c r="A12" s="12" t="s">
        <v>35</v>
      </c>
      <c r="B12" s="13">
        <v>5.8790914477658628E-2</v>
      </c>
      <c r="C12" s="14">
        <v>1219.3900000000001</v>
      </c>
    </row>
    <row r="13" spans="1:6" x14ac:dyDescent="0.2">
      <c r="A13" s="12" t="s">
        <v>36</v>
      </c>
      <c r="B13" s="13">
        <v>5.7771201472629492E-2</v>
      </c>
      <c r="C13" s="14">
        <v>1198.24</v>
      </c>
    </row>
    <row r="14" spans="1:6" x14ac:dyDescent="0.2">
      <c r="A14" s="12" t="s">
        <v>37</v>
      </c>
      <c r="B14" s="13">
        <v>5.3719831079598837E-2</v>
      </c>
      <c r="C14" s="14">
        <v>1114.21</v>
      </c>
    </row>
    <row r="15" spans="1:6" x14ac:dyDescent="0.2">
      <c r="A15" s="12" t="s">
        <v>38</v>
      </c>
      <c r="B15" s="13">
        <v>4.080394848303829E-2</v>
      </c>
      <c r="C15" s="14">
        <v>846.32</v>
      </c>
    </row>
    <row r="16" spans="1:6" x14ac:dyDescent="0.2">
      <c r="A16" s="12" t="s">
        <v>39</v>
      </c>
      <c r="B16" s="13">
        <v>2.7692801694025351E-2</v>
      </c>
      <c r="C16" s="14">
        <v>574.38</v>
      </c>
    </row>
    <row r="17" spans="1:3" x14ac:dyDescent="0.2">
      <c r="A17" s="12" t="s">
        <v>40</v>
      </c>
      <c r="B17" s="13">
        <v>2.4128386447604351E-2</v>
      </c>
      <c r="C17" s="14">
        <v>500.45</v>
      </c>
    </row>
    <row r="18" spans="1:3" x14ac:dyDescent="0.2">
      <c r="A18" s="12" t="s">
        <v>41</v>
      </c>
      <c r="B18" s="13">
        <v>1.2114094072984451E-2</v>
      </c>
      <c r="C18" s="14">
        <v>251.26</v>
      </c>
    </row>
    <row r="19" spans="1:3" x14ac:dyDescent="0.2">
      <c r="A19" s="12" t="s">
        <v>42</v>
      </c>
      <c r="B19" s="13">
        <v>0.16832834083774609</v>
      </c>
      <c r="C19" s="14">
        <v>3491.32</v>
      </c>
    </row>
  </sheetData>
  <mergeCells count="1"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J19"/>
  <sheetViews>
    <sheetView workbookViewId="0">
      <selection activeCell="H23" sqref="H23"/>
    </sheetView>
  </sheetViews>
  <sheetFormatPr baseColWidth="10" defaultColWidth="8.83203125" defaultRowHeight="15" x14ac:dyDescent="0.2"/>
  <cols>
    <col min="1" max="1" width="8" customWidth="1"/>
    <col min="2" max="3" width="22" customWidth="1"/>
    <col min="4" max="4" width="24" customWidth="1"/>
    <col min="5" max="5" width="23" customWidth="1"/>
    <col min="6" max="6" width="24" customWidth="1"/>
    <col min="7" max="8" width="23" customWidth="1"/>
    <col min="9" max="9" width="21" customWidth="1"/>
    <col min="10" max="10" width="24" customWidth="1"/>
  </cols>
  <sheetData>
    <row r="1" spans="1:10" ht="17" x14ac:dyDescent="0.2">
      <c r="A1" s="31" t="s">
        <v>43</v>
      </c>
      <c r="B1" s="30"/>
      <c r="C1" s="30"/>
      <c r="D1" s="30"/>
      <c r="E1" s="30"/>
      <c r="F1" s="30"/>
    </row>
    <row r="2" spans="1:10" x14ac:dyDescent="0.2">
      <c r="A2" s="29" t="s">
        <v>44</v>
      </c>
      <c r="B2" s="30"/>
      <c r="C2" s="30"/>
      <c r="D2" s="30"/>
      <c r="E2" s="30"/>
      <c r="F2" s="30"/>
    </row>
    <row r="4" spans="1:10" x14ac:dyDescent="0.2">
      <c r="A4" s="11" t="s">
        <v>45</v>
      </c>
      <c r="B4" s="11" t="s">
        <v>8</v>
      </c>
      <c r="C4" s="11" t="s">
        <v>9</v>
      </c>
      <c r="D4" s="11" t="s">
        <v>10</v>
      </c>
      <c r="E4" s="11" t="s">
        <v>11</v>
      </c>
      <c r="F4" s="11" t="s">
        <v>12</v>
      </c>
      <c r="G4" s="11" t="s">
        <v>13</v>
      </c>
      <c r="H4" s="11" t="s">
        <v>14</v>
      </c>
      <c r="I4" s="11" t="s">
        <v>46</v>
      </c>
      <c r="J4" s="11" t="s">
        <v>47</v>
      </c>
    </row>
    <row r="5" spans="1:10" x14ac:dyDescent="0.2">
      <c r="A5" s="12" t="s">
        <v>41</v>
      </c>
      <c r="B5" s="15">
        <v>1.496941847518968</v>
      </c>
      <c r="C5" s="15">
        <v>0.23522140581921061</v>
      </c>
      <c r="D5" s="15">
        <v>0.2165522291060355</v>
      </c>
      <c r="E5" s="15">
        <v>1.980032697650798</v>
      </c>
      <c r="F5" s="15">
        <v>0.43193570943231979</v>
      </c>
      <c r="G5" s="15">
        <v>0.16523010380654529</v>
      </c>
      <c r="H5" s="15">
        <v>5.2555907951193803E-2</v>
      </c>
      <c r="I5" s="13">
        <v>0.15290894999064719</v>
      </c>
      <c r="J5" s="16">
        <v>1.454691288816655E-3</v>
      </c>
    </row>
    <row r="6" spans="1:10" x14ac:dyDescent="0.2">
      <c r="A6" s="12" t="s">
        <v>28</v>
      </c>
      <c r="B6" s="15">
        <v>1.343330359835909</v>
      </c>
      <c r="C6" s="7">
        <v>-0.34205010897053689</v>
      </c>
      <c r="D6" s="7">
        <v>-1.0853933884524181</v>
      </c>
      <c r="E6" s="15">
        <v>1.0373356622077921</v>
      </c>
      <c r="F6" s="7">
        <v>-0.57880665329615788</v>
      </c>
      <c r="G6" s="15">
        <v>0.23176528086179099</v>
      </c>
      <c r="H6" s="15">
        <v>0.6929267998647558</v>
      </c>
      <c r="I6" s="13">
        <v>0.2578390102298378</v>
      </c>
      <c r="J6" s="16">
        <v>5.4777927374524379E-4</v>
      </c>
    </row>
    <row r="7" spans="1:10" x14ac:dyDescent="0.2">
      <c r="A7" s="12" t="s">
        <v>30</v>
      </c>
      <c r="B7" s="15">
        <v>1.2969574534356449</v>
      </c>
      <c r="C7" s="15">
        <v>0.29706649060720641</v>
      </c>
      <c r="D7" s="17">
        <v>-1.168767872887109E-3</v>
      </c>
      <c r="E7" s="7">
        <v>-3.3004908430463019E-2</v>
      </c>
      <c r="F7" s="7">
        <v>-0.19365275091977421</v>
      </c>
      <c r="G7" s="18">
        <v>4.6770195244847127E-3</v>
      </c>
      <c r="H7" s="15">
        <v>0.2093931026680439</v>
      </c>
      <c r="I7" s="13">
        <v>0.97941125211776836</v>
      </c>
      <c r="J7" s="16">
        <v>3.222090826807687E-6</v>
      </c>
    </row>
    <row r="8" spans="1:10" x14ac:dyDescent="0.2">
      <c r="A8" s="12" t="s">
        <v>29</v>
      </c>
      <c r="B8" s="15">
        <v>1.153878097234192</v>
      </c>
      <c r="C8" s="7">
        <v>-4.9615022460836433E-2</v>
      </c>
      <c r="D8" s="7">
        <v>-0.49858989637214302</v>
      </c>
      <c r="E8" s="7">
        <v>-3.8821318214279192E-2</v>
      </c>
      <c r="F8" s="7">
        <v>-2.2930016632542962</v>
      </c>
      <c r="G8" s="15">
        <v>6.2153258628875031E-2</v>
      </c>
      <c r="H8" s="15">
        <v>0.82366364433124228</v>
      </c>
      <c r="I8" s="13">
        <v>0.38173420451962797</v>
      </c>
      <c r="J8" s="16">
        <v>2.5567974991730851E-4</v>
      </c>
    </row>
    <row r="9" spans="1:10" x14ac:dyDescent="0.2">
      <c r="A9" s="12" t="s">
        <v>36</v>
      </c>
      <c r="B9" s="15">
        <v>1.0907244658721389</v>
      </c>
      <c r="C9" s="7">
        <v>-7.2233777816606171E-2</v>
      </c>
      <c r="D9" s="15">
        <v>1.423442620629144E-15</v>
      </c>
      <c r="E9" s="15">
        <v>4.6302745658355812E-16</v>
      </c>
      <c r="F9" s="15">
        <v>1.0274544430421799E-15</v>
      </c>
      <c r="G9" s="15">
        <v>1.000000000000004</v>
      </c>
      <c r="H9" s="15">
        <v>1.4775227896770951E-16</v>
      </c>
      <c r="I9" s="13">
        <v>1</v>
      </c>
      <c r="J9" s="16">
        <v>3.3901003659921372E-30</v>
      </c>
    </row>
    <row r="10" spans="1:10" x14ac:dyDescent="0.2">
      <c r="A10" s="12" t="s">
        <v>34</v>
      </c>
      <c r="B10" s="15">
        <v>0.88668497306442629</v>
      </c>
      <c r="C10" s="7">
        <v>-0.1323102337051511</v>
      </c>
      <c r="D10" s="15">
        <v>0.41481652664786828</v>
      </c>
      <c r="E10" s="15">
        <v>0.2556591323143087</v>
      </c>
      <c r="F10" s="15">
        <v>0.82624289896314285</v>
      </c>
      <c r="G10" s="15">
        <v>9.5616284197198906E-2</v>
      </c>
      <c r="H10" s="7">
        <v>-0.37698535838817981</v>
      </c>
      <c r="I10" s="13">
        <v>0.74288208588362625</v>
      </c>
      <c r="J10" s="16">
        <v>3.0700578401677039E-5</v>
      </c>
    </row>
    <row r="11" spans="1:10" x14ac:dyDescent="0.2">
      <c r="A11" s="12" t="s">
        <v>31</v>
      </c>
      <c r="B11" s="15">
        <v>0.82729964466253292</v>
      </c>
      <c r="C11" s="7">
        <v>-0.33960199256592399</v>
      </c>
      <c r="D11" s="15">
        <v>0.52724709488990096</v>
      </c>
      <c r="E11" s="15">
        <v>5.2830060766952708E-2</v>
      </c>
      <c r="F11" s="15">
        <v>0.62023611138092549</v>
      </c>
      <c r="G11" s="15">
        <v>5.0915218518275449E-2</v>
      </c>
      <c r="H11" s="7">
        <v>-0.92138765533921874</v>
      </c>
      <c r="I11" s="13">
        <v>0.40702449453497141</v>
      </c>
      <c r="J11" s="16">
        <v>1.2102575417570249E-4</v>
      </c>
    </row>
    <row r="12" spans="1:10" x14ac:dyDescent="0.2">
      <c r="A12" s="12" t="s">
        <v>33</v>
      </c>
      <c r="B12" s="15">
        <v>0.7596585197494814</v>
      </c>
      <c r="C12" s="7">
        <v>-0.25925741336297542</v>
      </c>
      <c r="D12" s="15">
        <v>6.8420764533447281E-2</v>
      </c>
      <c r="E12" s="15">
        <v>0.2032103802936446</v>
      </c>
      <c r="F12" s="15">
        <v>0.50708924418017032</v>
      </c>
      <c r="G12" s="15">
        <v>0.1205659775077061</v>
      </c>
      <c r="H12" s="15">
        <v>0.1762334770147006</v>
      </c>
      <c r="I12" s="13">
        <v>0.93534565508238487</v>
      </c>
      <c r="J12" s="16">
        <v>3.6237269190071151E-6</v>
      </c>
    </row>
    <row r="13" spans="1:10" x14ac:dyDescent="0.2">
      <c r="A13" s="12" t="s">
        <v>39</v>
      </c>
      <c r="B13" s="15">
        <v>0.74654467116878886</v>
      </c>
      <c r="C13" s="7">
        <v>-0.1612101514050058</v>
      </c>
      <c r="D13" s="15">
        <v>0.45069623093558853</v>
      </c>
      <c r="E13" s="7">
        <v>-0.44784143376382629</v>
      </c>
      <c r="F13" s="15">
        <v>0.10808733974766779</v>
      </c>
      <c r="G13" s="15">
        <v>0.31913837243737692</v>
      </c>
      <c r="H13" s="7">
        <v>-0.31290444037207982</v>
      </c>
      <c r="I13" s="13">
        <v>0.20706056686865229</v>
      </c>
      <c r="J13" s="16">
        <v>2.3261263875630251E-4</v>
      </c>
    </row>
    <row r="14" spans="1:10" x14ac:dyDescent="0.2">
      <c r="A14" s="12" t="s">
        <v>38</v>
      </c>
      <c r="B14" s="15">
        <v>0.61155557914313896</v>
      </c>
      <c r="C14" s="15">
        <v>6.6653669046991951E-2</v>
      </c>
      <c r="D14" s="7">
        <v>-2.417127309018563E-2</v>
      </c>
      <c r="E14" s="7">
        <v>-0.22393371048656571</v>
      </c>
      <c r="F14" s="15">
        <v>0.40241339839487023</v>
      </c>
      <c r="G14" s="15">
        <v>0.31340298286646362</v>
      </c>
      <c r="H14" s="15">
        <v>0.17321909530797761</v>
      </c>
      <c r="I14" s="13">
        <v>0.13518682599295639</v>
      </c>
      <c r="J14" s="16">
        <v>2.9760881826783759E-4</v>
      </c>
    </row>
    <row r="15" spans="1:10" x14ac:dyDescent="0.2">
      <c r="A15" s="12" t="s">
        <v>37</v>
      </c>
      <c r="B15" s="15">
        <v>0.52377984961780899</v>
      </c>
      <c r="C15" s="7">
        <v>-0.43436339414540531</v>
      </c>
      <c r="D15" s="7">
        <v>-5.3734900975384567E-2</v>
      </c>
      <c r="E15" s="15">
        <v>1.6563162175237669</v>
      </c>
      <c r="F15" s="7">
        <v>-0.19760574959875041</v>
      </c>
      <c r="G15" s="7">
        <v>-0.2254780612052367</v>
      </c>
      <c r="H15" s="15">
        <v>0.48608672760904348</v>
      </c>
      <c r="I15" s="13">
        <v>0.35354821833097239</v>
      </c>
      <c r="J15" s="16">
        <v>1.260434450004947E-4</v>
      </c>
    </row>
    <row r="16" spans="1:10" x14ac:dyDescent="0.2">
      <c r="A16" s="12" t="s">
        <v>35</v>
      </c>
      <c r="B16" s="15">
        <v>0.44164762960468512</v>
      </c>
      <c r="C16" s="7">
        <v>-0.43270302778688408</v>
      </c>
      <c r="D16" s="7">
        <v>-0.1272713917945934</v>
      </c>
      <c r="E16" s="15">
        <v>0.75914332449446598</v>
      </c>
      <c r="F16" s="15">
        <v>0.59583793945603569</v>
      </c>
      <c r="G16" s="7">
        <v>-5.5133447829671389E-3</v>
      </c>
      <c r="H16" s="15">
        <v>0.49965706446600749</v>
      </c>
      <c r="I16" s="13">
        <v>0.52505171224359892</v>
      </c>
      <c r="J16" s="16">
        <v>4.9405177885997977E-5</v>
      </c>
    </row>
    <row r="17" spans="1:10" x14ac:dyDescent="0.2">
      <c r="A17" s="12" t="s">
        <v>40</v>
      </c>
      <c r="B17" s="15">
        <v>0.43021805597195928</v>
      </c>
      <c r="C17" s="7">
        <v>-8.1197932878287846E-2</v>
      </c>
      <c r="D17" s="15">
        <v>0.29480330673828142</v>
      </c>
      <c r="E17" s="7">
        <v>-0.16894374612377941</v>
      </c>
      <c r="F17" s="15">
        <v>0.346204254487467</v>
      </c>
      <c r="G17" s="15">
        <v>9.0279958718187239E-2</v>
      </c>
      <c r="H17" s="15">
        <v>0.33182696964439801</v>
      </c>
      <c r="I17" s="13">
        <v>0.109475750310111</v>
      </c>
      <c r="J17" s="16">
        <v>2.1150261506238161E-4</v>
      </c>
    </row>
    <row r="18" spans="1:10" x14ac:dyDescent="0.2">
      <c r="A18" s="12" t="s">
        <v>27</v>
      </c>
      <c r="B18" s="15">
        <v>0.29469791009181279</v>
      </c>
      <c r="C18" s="7">
        <v>-0.51915186104661848</v>
      </c>
      <c r="D18" s="7">
        <v>-9.6452671194145176E-2</v>
      </c>
      <c r="E18" s="15">
        <v>0.97306539213248</v>
      </c>
      <c r="F18" s="15">
        <v>1.162166693365932</v>
      </c>
      <c r="G18" s="15">
        <v>9.3434458486961233E-2</v>
      </c>
      <c r="H18" s="15">
        <v>0.70242364380078848</v>
      </c>
      <c r="I18" s="13">
        <v>0.24976740330007249</v>
      </c>
      <c r="J18" s="16">
        <v>2.709131574489147E-4</v>
      </c>
    </row>
    <row r="19" spans="1:10" x14ac:dyDescent="0.2">
      <c r="A19" s="12" t="s">
        <v>32</v>
      </c>
      <c r="B19" s="7">
        <v>-0.35386949024380482</v>
      </c>
      <c r="C19" s="7">
        <v>-0.2425830165186629</v>
      </c>
      <c r="D19" s="7">
        <v>-7.8129370009391505E-3</v>
      </c>
      <c r="E19" s="7">
        <v>-1.223521890093805</v>
      </c>
      <c r="F19" s="15">
        <v>1.031867006663491</v>
      </c>
      <c r="G19" s="7">
        <v>-0.2077128841278901</v>
      </c>
      <c r="H19" s="15">
        <v>0.32457773477680368</v>
      </c>
      <c r="I19" s="13">
        <v>0.16107763406985379</v>
      </c>
      <c r="J19" s="16">
        <v>1.8893338976257569E-4</v>
      </c>
    </row>
  </sheetData>
  <mergeCells count="2">
    <mergeCell ref="A2:F2"/>
    <mergeCell ref="A1:F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4"/>
  <sheetViews>
    <sheetView tabSelected="1" workbookViewId="0">
      <selection activeCell="H23" sqref="H23"/>
    </sheetView>
  </sheetViews>
  <sheetFormatPr baseColWidth="10" defaultColWidth="8.83203125" defaultRowHeight="15" x14ac:dyDescent="0.2"/>
  <cols>
    <col min="1" max="1" width="21.1640625" bestFit="1" customWidth="1"/>
    <col min="2" max="2" width="23" customWidth="1"/>
    <col min="3" max="3" width="24" customWidth="1"/>
    <col min="4" max="4" width="23" customWidth="1"/>
    <col min="6" max="6" width="20.1640625" bestFit="1" customWidth="1"/>
  </cols>
  <sheetData>
    <row r="1" spans="1:6" ht="17" x14ac:dyDescent="0.2">
      <c r="A1" s="31" t="s">
        <v>48</v>
      </c>
      <c r="B1" s="30"/>
      <c r="C1" s="30"/>
      <c r="D1" s="30"/>
      <c r="E1" s="30"/>
      <c r="F1" s="30"/>
    </row>
    <row r="3" spans="1:6" ht="17" x14ac:dyDescent="0.2">
      <c r="A3" s="31" t="s">
        <v>49</v>
      </c>
      <c r="B3" s="30"/>
      <c r="C3" s="30"/>
      <c r="D3" s="30"/>
      <c r="E3" s="30"/>
    </row>
    <row r="4" spans="1:6" x14ac:dyDescent="0.2">
      <c r="A4" s="1" t="s">
        <v>50</v>
      </c>
      <c r="B4" s="19">
        <v>0.11819057906227361</v>
      </c>
    </row>
    <row r="5" spans="1:6" x14ac:dyDescent="0.2">
      <c r="A5" s="3" t="s">
        <v>51</v>
      </c>
      <c r="B5" s="5">
        <v>0.1026454400666722</v>
      </c>
    </row>
    <row r="6" spans="1:6" x14ac:dyDescent="0.2">
      <c r="A6" s="3" t="s">
        <v>52</v>
      </c>
      <c r="B6" s="5">
        <v>5.8591182037869442E-2</v>
      </c>
    </row>
    <row r="7" spans="1:6" x14ac:dyDescent="0.2">
      <c r="A7" s="3" t="s">
        <v>53</v>
      </c>
      <c r="B7" s="5">
        <v>0.75424701675508499</v>
      </c>
    </row>
    <row r="8" spans="1:6" x14ac:dyDescent="0.2">
      <c r="A8" s="3" t="s">
        <v>54</v>
      </c>
      <c r="B8" s="5">
        <v>0.2457529832449151</v>
      </c>
    </row>
    <row r="10" spans="1:6" x14ac:dyDescent="0.2">
      <c r="A10" s="11" t="s">
        <v>55</v>
      </c>
      <c r="B10" s="11" t="s">
        <v>56</v>
      </c>
      <c r="C10" s="11" t="s">
        <v>57</v>
      </c>
      <c r="D10" s="11" t="s">
        <v>58</v>
      </c>
    </row>
    <row r="11" spans="1:6" x14ac:dyDescent="0.2">
      <c r="A11" s="12" t="s">
        <v>8</v>
      </c>
      <c r="B11" s="15">
        <v>0.75022948994875527</v>
      </c>
      <c r="C11" s="16">
        <v>3.3878156491770643E-5</v>
      </c>
      <c r="D11" s="13">
        <v>0.61115953208106955</v>
      </c>
    </row>
    <row r="12" spans="1:6" x14ac:dyDescent="0.2">
      <c r="A12" s="12" t="s">
        <v>9</v>
      </c>
      <c r="B12" s="7">
        <v>-0.20412289072368769</v>
      </c>
      <c r="C12" s="16">
        <v>3.465975943962348E-6</v>
      </c>
      <c r="D12" s="13">
        <v>6.2525959363545089E-2</v>
      </c>
    </row>
    <row r="13" spans="1:6" x14ac:dyDescent="0.2">
      <c r="A13" s="12" t="s">
        <v>13</v>
      </c>
      <c r="B13" s="15">
        <v>0.12577227239562311</v>
      </c>
      <c r="C13" s="16">
        <v>1.858674456061978E-6</v>
      </c>
      <c r="D13" s="13">
        <v>3.353035490977227E-2</v>
      </c>
    </row>
    <row r="14" spans="1:6" x14ac:dyDescent="0.2">
      <c r="A14" s="12" t="s">
        <v>11</v>
      </c>
      <c r="B14" s="15">
        <v>0.28688916792646768</v>
      </c>
      <c r="C14" s="16">
        <v>1.3190859114356871E-6</v>
      </c>
      <c r="D14" s="13">
        <v>2.3796215965989569E-2</v>
      </c>
    </row>
    <row r="15" spans="1:6" x14ac:dyDescent="0.2">
      <c r="A15" s="12" t="s">
        <v>12</v>
      </c>
      <c r="B15" s="15">
        <v>0.1526052721309526</v>
      </c>
      <c r="C15" s="16">
        <v>9.0657859787891209E-7</v>
      </c>
      <c r="D15" s="13">
        <v>1.635461338662203E-2</v>
      </c>
    </row>
    <row r="16" spans="1:6" x14ac:dyDescent="0.2">
      <c r="A16" s="12" t="s">
        <v>14</v>
      </c>
      <c r="B16" s="15">
        <v>0.23301598423819089</v>
      </c>
      <c r="C16" s="16">
        <v>4.8227552107597807E-7</v>
      </c>
      <c r="D16" s="13">
        <v>8.7002160777711144E-3</v>
      </c>
    </row>
    <row r="17" spans="1:8" x14ac:dyDescent="0.2">
      <c r="A17" s="12" t="s">
        <v>10</v>
      </c>
      <c r="B17" s="7">
        <v>-6.1501563512325587E-2</v>
      </c>
      <c r="C17" s="20">
        <v>-1.008803885315962E-7</v>
      </c>
      <c r="D17" s="21">
        <v>-1.819875029684784E-3</v>
      </c>
    </row>
    <row r="20" spans="1:8" ht="17" x14ac:dyDescent="0.2">
      <c r="A20" s="31" t="s">
        <v>59</v>
      </c>
      <c r="B20" s="30"/>
      <c r="C20" s="30"/>
      <c r="D20" s="30"/>
      <c r="E20" s="30"/>
    </row>
    <row r="21" spans="1:8" x14ac:dyDescent="0.2">
      <c r="A21" s="1" t="s">
        <v>50</v>
      </c>
      <c r="B21" s="19">
        <v>0.11728184096516581</v>
      </c>
    </row>
    <row r="22" spans="1:8" x14ac:dyDescent="0.2">
      <c r="A22" s="3" t="s">
        <v>51</v>
      </c>
      <c r="B22" s="5">
        <v>0.1015977539495027</v>
      </c>
    </row>
    <row r="23" spans="1:8" x14ac:dyDescent="0.2">
      <c r="A23" s="3" t="s">
        <v>52</v>
      </c>
      <c r="B23" s="5">
        <v>5.8591182037869442E-2</v>
      </c>
    </row>
    <row r="24" spans="1:8" x14ac:dyDescent="0.2">
      <c r="A24" s="3" t="s">
        <v>53</v>
      </c>
      <c r="B24" s="5">
        <v>0.75042391345976855</v>
      </c>
    </row>
    <row r="25" spans="1:8" x14ac:dyDescent="0.2">
      <c r="A25" s="3" t="s">
        <v>54</v>
      </c>
      <c r="B25" s="5">
        <v>0.2495760865402315</v>
      </c>
    </row>
    <row r="27" spans="1:8" x14ac:dyDescent="0.2">
      <c r="A27" s="11" t="s">
        <v>55</v>
      </c>
      <c r="B27" s="11" t="s">
        <v>56</v>
      </c>
      <c r="C27" s="11" t="s">
        <v>57</v>
      </c>
      <c r="D27" s="11" t="s">
        <v>58</v>
      </c>
    </row>
    <row r="28" spans="1:8" x14ac:dyDescent="0.2">
      <c r="A28" s="12" t="s">
        <v>8</v>
      </c>
      <c r="B28" s="15">
        <v>0.75022948994875527</v>
      </c>
      <c r="C28" s="16">
        <v>3.3338933804798919E-5</v>
      </c>
      <c r="D28" s="13">
        <v>0.61078828503659488</v>
      </c>
    </row>
    <row r="29" spans="1:8" x14ac:dyDescent="0.2">
      <c r="A29" s="12" t="s">
        <v>9</v>
      </c>
      <c r="B29" s="7">
        <v>-0.20412289072368769</v>
      </c>
      <c r="C29" s="16">
        <v>3.9810996462345846E-6</v>
      </c>
      <c r="D29" s="13">
        <v>7.2936016482128843E-2</v>
      </c>
      <c r="F29" s="24"/>
      <c r="H29" s="25"/>
    </row>
    <row r="30" spans="1:8" x14ac:dyDescent="0.2">
      <c r="A30" s="12" t="s">
        <v>13</v>
      </c>
      <c r="B30" s="15">
        <v>0.12577227239562311</v>
      </c>
      <c r="C30" s="16">
        <v>1.2175964588625831E-6</v>
      </c>
      <c r="D30" s="13">
        <v>2.2307061687385391E-2</v>
      </c>
      <c r="F30" s="24"/>
    </row>
    <row r="31" spans="1:8" x14ac:dyDescent="0.2">
      <c r="A31" s="12" t="s">
        <v>11</v>
      </c>
      <c r="B31" s="15">
        <v>0.28688916792646768</v>
      </c>
      <c r="C31" s="16">
        <v>1.116243382064203E-6</v>
      </c>
      <c r="D31" s="13">
        <v>2.0450215504981269E-2</v>
      </c>
      <c r="F31" s="24"/>
    </row>
    <row r="32" spans="1:8" x14ac:dyDescent="0.2">
      <c r="A32" s="12" t="s">
        <v>12</v>
      </c>
      <c r="B32" s="15">
        <v>0.1526052721309526</v>
      </c>
      <c r="C32" s="16">
        <v>7.4212999994995765E-7</v>
      </c>
      <c r="D32" s="13">
        <v>1.3596244936855051E-2</v>
      </c>
      <c r="F32" s="24"/>
    </row>
    <row r="33" spans="1:6" x14ac:dyDescent="0.2">
      <c r="A33" s="12" t="s">
        <v>14</v>
      </c>
      <c r="B33" s="15">
        <v>0.23301598423819089</v>
      </c>
      <c r="C33" s="16">
        <v>5.0305616705078018E-7</v>
      </c>
      <c r="D33" s="13">
        <v>9.216275941787937E-3</v>
      </c>
      <c r="F33" s="24"/>
    </row>
    <row r="34" spans="1:6" x14ac:dyDescent="0.2">
      <c r="A34" s="12" t="s">
        <v>10</v>
      </c>
      <c r="B34" s="7">
        <v>-6.1501563512325587E-2</v>
      </c>
      <c r="C34" s="16">
        <v>6.1669142561543437E-8</v>
      </c>
      <c r="D34" s="13">
        <v>1.129813870035055E-3</v>
      </c>
      <c r="F34" s="24"/>
    </row>
  </sheetData>
  <mergeCells count="3">
    <mergeCell ref="A1:F1"/>
    <mergeCell ref="A20:E20"/>
    <mergeCell ref="A3:E3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D20"/>
  <sheetViews>
    <sheetView workbookViewId="0">
      <selection sqref="A1:D1"/>
    </sheetView>
  </sheetViews>
  <sheetFormatPr baseColWidth="10" defaultColWidth="8.83203125" defaultRowHeight="15" x14ac:dyDescent="0.2"/>
  <cols>
    <col min="1" max="1" width="34" customWidth="1"/>
    <col min="2" max="2" width="18" customWidth="1"/>
  </cols>
  <sheetData>
    <row r="1" spans="1:4" ht="17" x14ac:dyDescent="0.2">
      <c r="A1" s="31" t="s">
        <v>60</v>
      </c>
      <c r="B1" s="30"/>
      <c r="C1" s="30"/>
      <c r="D1" s="30"/>
    </row>
    <row r="2" spans="1:4" x14ac:dyDescent="0.2">
      <c r="A2" s="29" t="s">
        <v>61</v>
      </c>
      <c r="B2" s="30"/>
      <c r="C2" s="30"/>
      <c r="D2" s="30"/>
    </row>
    <row r="4" spans="1:4" x14ac:dyDescent="0.2">
      <c r="A4" s="3" t="s">
        <v>23</v>
      </c>
      <c r="B4" s="22">
        <v>15</v>
      </c>
    </row>
    <row r="5" spans="1:4" x14ac:dyDescent="0.2">
      <c r="A5" s="3" t="s">
        <v>62</v>
      </c>
      <c r="B5" s="6">
        <v>0.2930781721865573</v>
      </c>
    </row>
    <row r="6" spans="1:4" x14ac:dyDescent="0.2">
      <c r="A6" s="3" t="s">
        <v>63</v>
      </c>
      <c r="B6" s="9">
        <v>2.9393930021768249</v>
      </c>
    </row>
    <row r="7" spans="1:4" x14ac:dyDescent="0.2">
      <c r="A7" s="1" t="s">
        <v>64</v>
      </c>
      <c r="B7" s="8">
        <v>8.1309244115660313</v>
      </c>
    </row>
    <row r="8" spans="1:4" x14ac:dyDescent="0.2">
      <c r="A8" s="3" t="s">
        <v>65</v>
      </c>
      <c r="B8" s="5">
        <v>0.54206162743773545</v>
      </c>
    </row>
    <row r="9" spans="1:4" x14ac:dyDescent="0.2">
      <c r="A9" s="3" t="s">
        <v>66</v>
      </c>
      <c r="B9" s="5">
        <v>0.38204879934739822</v>
      </c>
    </row>
    <row r="10" spans="1:4" x14ac:dyDescent="0.2">
      <c r="A10" s="3" t="s">
        <v>67</v>
      </c>
      <c r="B10" s="9">
        <v>4</v>
      </c>
    </row>
    <row r="11" spans="1:4" x14ac:dyDescent="0.2">
      <c r="A11" s="3" t="s">
        <v>17</v>
      </c>
      <c r="B11" s="9">
        <v>32.523697646264132</v>
      </c>
    </row>
    <row r="14" spans="1:4" ht="17" x14ac:dyDescent="0.2">
      <c r="A14" s="31" t="s">
        <v>68</v>
      </c>
      <c r="B14" s="30"/>
      <c r="C14" s="30"/>
      <c r="D14" s="30"/>
    </row>
    <row r="15" spans="1:4" x14ac:dyDescent="0.2">
      <c r="A15" s="29" t="s">
        <v>69</v>
      </c>
      <c r="B15" s="30"/>
      <c r="C15" s="30"/>
      <c r="D15" s="30"/>
    </row>
    <row r="17" spans="1:2" x14ac:dyDescent="0.2">
      <c r="A17" s="11" t="s">
        <v>70</v>
      </c>
      <c r="B17" s="11" t="s">
        <v>71</v>
      </c>
    </row>
    <row r="18" spans="1:2" x14ac:dyDescent="0.2">
      <c r="A18" s="15">
        <v>0.05</v>
      </c>
      <c r="B18" s="15">
        <v>0.28514775839143519</v>
      </c>
    </row>
    <row r="19" spans="1:2" x14ac:dyDescent="0.2">
      <c r="A19" s="15">
        <v>0.1</v>
      </c>
      <c r="B19" s="15">
        <v>0.57029551678287038</v>
      </c>
    </row>
    <row r="20" spans="1:2" x14ac:dyDescent="0.2">
      <c r="A20" s="15">
        <v>0.15</v>
      </c>
      <c r="B20" s="15">
        <v>0.85544327517430563</v>
      </c>
    </row>
  </sheetData>
  <mergeCells count="4">
    <mergeCell ref="A1:D1"/>
    <mergeCell ref="A14:D14"/>
    <mergeCell ref="A2:D2"/>
    <mergeCell ref="A15:D15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F19"/>
  <sheetViews>
    <sheetView topLeftCell="A2" zoomScale="110" workbookViewId="0">
      <selection activeCell="A14" sqref="A14"/>
    </sheetView>
  </sheetViews>
  <sheetFormatPr baseColWidth="10" defaultColWidth="8.83203125" defaultRowHeight="15" x14ac:dyDescent="0.2"/>
  <cols>
    <col min="1" max="1" width="22.33203125" bestFit="1" customWidth="1"/>
    <col min="2" max="3" width="23" customWidth="1"/>
    <col min="4" max="4" width="26" customWidth="1"/>
  </cols>
  <sheetData>
    <row r="1" spans="1:6" ht="17" x14ac:dyDescent="0.2">
      <c r="A1" s="31" t="s">
        <v>18</v>
      </c>
      <c r="B1" s="30"/>
      <c r="C1" s="30"/>
      <c r="D1" s="30"/>
      <c r="E1" s="30"/>
      <c r="F1" s="30"/>
    </row>
    <row r="2" spans="1:6" x14ac:dyDescent="0.2">
      <c r="A2" s="29" t="s">
        <v>19</v>
      </c>
      <c r="B2" s="30"/>
      <c r="C2" s="30"/>
      <c r="D2" s="30"/>
      <c r="E2" s="30"/>
      <c r="F2" s="30"/>
    </row>
    <row r="4" spans="1:6" x14ac:dyDescent="0.2">
      <c r="A4" s="3" t="s">
        <v>72</v>
      </c>
      <c r="B4" s="5">
        <v>0.1026454400666722</v>
      </c>
    </row>
    <row r="5" spans="1:6" x14ac:dyDescent="0.2">
      <c r="A5" s="3" t="s">
        <v>73</v>
      </c>
      <c r="B5" s="5">
        <v>0.14173296280798611</v>
      </c>
    </row>
    <row r="6" spans="1:6" x14ac:dyDescent="0.2">
      <c r="A6" s="3" t="s">
        <v>74</v>
      </c>
      <c r="B6" s="5">
        <v>0.16677025401632081</v>
      </c>
    </row>
    <row r="7" spans="1:6" x14ac:dyDescent="0.2">
      <c r="A7" s="3" t="s">
        <v>75</v>
      </c>
      <c r="B7" s="23">
        <v>1.5</v>
      </c>
    </row>
    <row r="8" spans="1:6" x14ac:dyDescent="0.2">
      <c r="A8" s="3" t="s">
        <v>76</v>
      </c>
      <c r="B8" s="6">
        <v>0.5</v>
      </c>
    </row>
    <row r="9" spans="1:6" x14ac:dyDescent="0.2">
      <c r="A9" s="1" t="s">
        <v>21</v>
      </c>
      <c r="B9" s="10">
        <v>-6.3047149223378632E-2</v>
      </c>
    </row>
    <row r="11" spans="1:6" ht="17" x14ac:dyDescent="0.2">
      <c r="A11" s="31" t="s">
        <v>77</v>
      </c>
      <c r="B11" s="30"/>
      <c r="C11" s="30"/>
      <c r="D11" s="30"/>
    </row>
    <row r="12" spans="1:6" x14ac:dyDescent="0.2">
      <c r="A12" s="11" t="s">
        <v>55</v>
      </c>
      <c r="B12" s="11" t="s">
        <v>78</v>
      </c>
      <c r="C12" s="11" t="s">
        <v>79</v>
      </c>
      <c r="D12" s="11" t="s">
        <v>80</v>
      </c>
    </row>
    <row r="13" spans="1:6" x14ac:dyDescent="0.2">
      <c r="A13" s="12" t="s">
        <v>8</v>
      </c>
      <c r="B13" s="15">
        <v>0.75022948994875527</v>
      </c>
      <c r="C13" s="21">
        <v>-0.1</v>
      </c>
      <c r="D13" s="21">
        <v>-7.5022948994875535E-2</v>
      </c>
    </row>
    <row r="14" spans="1:6" x14ac:dyDescent="0.2">
      <c r="A14" s="12" t="s">
        <v>9</v>
      </c>
      <c r="B14" s="7">
        <v>-0.20412289072368769</v>
      </c>
      <c r="C14" s="21">
        <v>-8.4756885809342389E-2</v>
      </c>
      <c r="D14" s="13">
        <v>1.7300820540140479E-2</v>
      </c>
    </row>
    <row r="15" spans="1:6" x14ac:dyDescent="0.2">
      <c r="A15" s="12" t="s">
        <v>13</v>
      </c>
      <c r="B15" s="15">
        <v>0.12577227239562311</v>
      </c>
      <c r="C15" s="21">
        <v>-4.1746792692098342E-2</v>
      </c>
      <c r="D15" s="21">
        <v>-5.2505889821141986E-3</v>
      </c>
    </row>
    <row r="16" spans="1:6" x14ac:dyDescent="0.2">
      <c r="A16" s="12" t="s">
        <v>14</v>
      </c>
      <c r="B16" s="15">
        <v>0.23301598423819089</v>
      </c>
      <c r="C16" s="13">
        <v>1.7203116689127201E-2</v>
      </c>
      <c r="D16" s="13">
        <v>4.0086011672814227E-3</v>
      </c>
    </row>
    <row r="17" spans="1:4" x14ac:dyDescent="0.2">
      <c r="A17" s="12" t="s">
        <v>12</v>
      </c>
      <c r="B17" s="15">
        <v>0.1526052721309526</v>
      </c>
      <c r="C17" s="21">
        <v>-2.2669975022398429E-2</v>
      </c>
      <c r="D17" s="21">
        <v>-3.4595577074950099E-3</v>
      </c>
    </row>
    <row r="18" spans="1:4" x14ac:dyDescent="0.2">
      <c r="A18" s="12" t="s">
        <v>11</v>
      </c>
      <c r="B18" s="15">
        <v>0.28688916792646768</v>
      </c>
      <c r="C18" s="21">
        <v>-1.085751692287922E-2</v>
      </c>
      <c r="D18" s="21">
        <v>-3.1149039957523599E-3</v>
      </c>
    </row>
    <row r="19" spans="1:4" x14ac:dyDescent="0.2">
      <c r="A19" s="12" t="s">
        <v>10</v>
      </c>
      <c r="B19" s="7">
        <v>-6.1501563512325587E-2</v>
      </c>
      <c r="C19" s="21">
        <v>-4.0510006691736523E-2</v>
      </c>
      <c r="D19" s="13">
        <v>2.4914287494365679E-3</v>
      </c>
    </row>
  </sheetData>
  <mergeCells count="3">
    <mergeCell ref="A2:F2"/>
    <mergeCell ref="A1:F1"/>
    <mergeCell ref="A11:D1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H22"/>
  <sheetViews>
    <sheetView workbookViewId="0">
      <selection sqref="A1:F1"/>
    </sheetView>
  </sheetViews>
  <sheetFormatPr baseColWidth="10" defaultColWidth="8.83203125" defaultRowHeight="15" x14ac:dyDescent="0.2"/>
  <cols>
    <col min="1" max="1" width="8" customWidth="1"/>
    <col min="2" max="3" width="22" customWidth="1"/>
    <col min="4" max="4" width="21" customWidth="1"/>
    <col min="5" max="5" width="22" customWidth="1"/>
    <col min="6" max="7" width="21" customWidth="1"/>
    <col min="8" max="8" width="22" customWidth="1"/>
  </cols>
  <sheetData>
    <row r="1" spans="1:8" ht="17" x14ac:dyDescent="0.2">
      <c r="A1" s="31" t="s">
        <v>81</v>
      </c>
      <c r="B1" s="30"/>
      <c r="C1" s="30"/>
      <c r="D1" s="30"/>
      <c r="E1" s="30"/>
      <c r="F1" s="30"/>
    </row>
    <row r="3" spans="1:8" x14ac:dyDescent="0.2">
      <c r="A3" s="11"/>
      <c r="B3" s="11" t="s">
        <v>8</v>
      </c>
      <c r="C3" s="11" t="s">
        <v>9</v>
      </c>
      <c r="D3" s="11" t="s">
        <v>10</v>
      </c>
      <c r="E3" s="11" t="s">
        <v>11</v>
      </c>
      <c r="F3" s="11" t="s">
        <v>12</v>
      </c>
      <c r="G3" s="11" t="s">
        <v>13</v>
      </c>
      <c r="H3" s="11" t="s">
        <v>14</v>
      </c>
    </row>
    <row r="4" spans="1:8" x14ac:dyDescent="0.2">
      <c r="A4" s="12" t="s">
        <v>8</v>
      </c>
      <c r="B4" s="16">
        <v>6.58112806954042E-5</v>
      </c>
      <c r="C4" s="16">
        <v>2.9250547221193441E-5</v>
      </c>
      <c r="D4" s="16">
        <v>7.8707656505938504E-6</v>
      </c>
      <c r="E4" s="16">
        <v>1.8352438879682801E-6</v>
      </c>
      <c r="F4" s="16">
        <v>4.1223179058282224E-6</v>
      </c>
      <c r="G4" s="16">
        <v>1.0194684012384279E-5</v>
      </c>
      <c r="H4" s="20">
        <v>-8.5634745873814766E-7</v>
      </c>
    </row>
    <row r="5" spans="1:8" x14ac:dyDescent="0.2">
      <c r="A5" s="12" t="s">
        <v>9</v>
      </c>
      <c r="B5" s="16">
        <v>2.9250547221193441E-5</v>
      </c>
      <c r="C5" s="16">
        <v>2.0398053393341599E-4</v>
      </c>
      <c r="D5" s="16">
        <v>3.4586124630653187E-5</v>
      </c>
      <c r="E5" s="20">
        <v>-1.136259334701588E-6</v>
      </c>
      <c r="F5" s="16">
        <v>1.2079092020235809E-5</v>
      </c>
      <c r="G5" s="16">
        <v>1.1280100544879309E-5</v>
      </c>
      <c r="H5" s="16">
        <v>8.1696024081872654E-6</v>
      </c>
    </row>
    <row r="6" spans="1:8" x14ac:dyDescent="0.2">
      <c r="A6" s="12" t="s">
        <v>10</v>
      </c>
      <c r="B6" s="16">
        <v>7.8707656505938504E-6</v>
      </c>
      <c r="C6" s="16">
        <v>3.4586124630653187E-5</v>
      </c>
      <c r="D6" s="16">
        <v>4.5855164273342773E-5</v>
      </c>
      <c r="E6" s="16">
        <v>1.778918359735364E-6</v>
      </c>
      <c r="F6" s="16">
        <v>1.154495069062489E-5</v>
      </c>
      <c r="G6" s="16">
        <v>1.722063285621141E-5</v>
      </c>
      <c r="H6" s="16">
        <v>5.0526253992373226E-6</v>
      </c>
    </row>
    <row r="7" spans="1:8" x14ac:dyDescent="0.2">
      <c r="A7" s="12" t="s">
        <v>11</v>
      </c>
      <c r="B7" s="16">
        <v>1.8352438879682801E-6</v>
      </c>
      <c r="C7" s="20">
        <v>-1.136259334701588E-6</v>
      </c>
      <c r="D7" s="16">
        <v>1.778918359735364E-6</v>
      </c>
      <c r="E7" s="16">
        <v>5.6797242971280811E-6</v>
      </c>
      <c r="F7" s="16">
        <v>2.655650054653265E-6</v>
      </c>
      <c r="G7" s="16">
        <v>3.9833455030988132E-6</v>
      </c>
      <c r="H7" s="16">
        <v>2.4152737470945299E-6</v>
      </c>
    </row>
    <row r="8" spans="1:8" x14ac:dyDescent="0.2">
      <c r="A8" s="12" t="s">
        <v>12</v>
      </c>
      <c r="B8" s="16">
        <v>4.1223179058282224E-6</v>
      </c>
      <c r="C8" s="16">
        <v>1.2079092020235809E-5</v>
      </c>
      <c r="D8" s="16">
        <v>1.154495069062489E-5</v>
      </c>
      <c r="E8" s="16">
        <v>2.655650054653265E-6</v>
      </c>
      <c r="F8" s="16">
        <v>1.4482788944559381E-5</v>
      </c>
      <c r="G8" s="16">
        <v>1.577809050433308E-5</v>
      </c>
      <c r="H8" s="16">
        <v>4.5798169206171407E-6</v>
      </c>
    </row>
    <row r="9" spans="1:8" x14ac:dyDescent="0.2">
      <c r="A9" s="12" t="s">
        <v>13</v>
      </c>
      <c r="B9" s="16">
        <v>1.0194684012384279E-5</v>
      </c>
      <c r="C9" s="16">
        <v>1.1280100544879309E-5</v>
      </c>
      <c r="D9" s="16">
        <v>1.722063285621141E-5</v>
      </c>
      <c r="E9" s="16">
        <v>3.9833455030988132E-6</v>
      </c>
      <c r="F9" s="16">
        <v>1.577809050433308E-5</v>
      </c>
      <c r="G9" s="16">
        <v>4.8632245469534589E-5</v>
      </c>
      <c r="H9" s="16">
        <v>3.5369995413159379E-6</v>
      </c>
    </row>
    <row r="10" spans="1:8" x14ac:dyDescent="0.2">
      <c r="A10" s="12" t="s">
        <v>14</v>
      </c>
      <c r="B10" s="20">
        <v>-8.5634745873814766E-7</v>
      </c>
      <c r="C10" s="16">
        <v>8.1696024081872654E-6</v>
      </c>
      <c r="D10" s="16">
        <v>5.0526253992373226E-6</v>
      </c>
      <c r="E10" s="16">
        <v>2.4152737470945299E-6</v>
      </c>
      <c r="F10" s="16">
        <v>4.5798169206171407E-6</v>
      </c>
      <c r="G10" s="16">
        <v>3.5369995413159379E-6</v>
      </c>
      <c r="H10" s="16">
        <v>1.224739080002321E-5</v>
      </c>
    </row>
    <row r="13" spans="1:8" ht="17" x14ac:dyDescent="0.2">
      <c r="A13" s="31" t="s">
        <v>82</v>
      </c>
      <c r="B13" s="30"/>
      <c r="C13" s="30"/>
      <c r="D13" s="30"/>
      <c r="E13" s="30"/>
      <c r="F13" s="30"/>
    </row>
    <row r="15" spans="1:8" x14ac:dyDescent="0.2">
      <c r="A15" s="11"/>
      <c r="B15" s="11" t="s">
        <v>8</v>
      </c>
      <c r="C15" s="11" t="s">
        <v>9</v>
      </c>
      <c r="D15" s="11" t="s">
        <v>10</v>
      </c>
      <c r="E15" s="11" t="s">
        <v>11</v>
      </c>
      <c r="F15" s="11" t="s">
        <v>12</v>
      </c>
      <c r="G15" s="11" t="s">
        <v>13</v>
      </c>
      <c r="H15" s="11" t="s">
        <v>14</v>
      </c>
    </row>
    <row r="16" spans="1:8" x14ac:dyDescent="0.2">
      <c r="A16" s="12" t="s">
        <v>8</v>
      </c>
      <c r="B16" s="15">
        <v>0.99999999999999978</v>
      </c>
      <c r="C16" s="15">
        <v>0.25245818872982051</v>
      </c>
      <c r="D16" s="15">
        <v>0.1432757477350601</v>
      </c>
      <c r="E16" s="15">
        <v>9.4924864918657051E-2</v>
      </c>
      <c r="F16" s="15">
        <v>0.13352580615856369</v>
      </c>
      <c r="G16" s="15">
        <v>0.1802027593574542</v>
      </c>
      <c r="H16" s="7">
        <v>-3.0163244479713028E-2</v>
      </c>
    </row>
    <row r="17" spans="1:8" x14ac:dyDescent="0.2">
      <c r="A17" s="12" t="s">
        <v>9</v>
      </c>
      <c r="B17" s="15">
        <v>0.25245818872982051</v>
      </c>
      <c r="C17" s="15">
        <v>0.99999999999999989</v>
      </c>
      <c r="D17" s="15">
        <v>0.35761309489149767</v>
      </c>
      <c r="E17" s="7">
        <v>-3.3382547416012071E-2</v>
      </c>
      <c r="F17" s="15">
        <v>0.2222357007047924</v>
      </c>
      <c r="G17" s="15">
        <v>0.1132547556420178</v>
      </c>
      <c r="H17" s="15">
        <v>0.16344994209936331</v>
      </c>
    </row>
    <row r="18" spans="1:8" x14ac:dyDescent="0.2">
      <c r="A18" s="12" t="s">
        <v>10</v>
      </c>
      <c r="B18" s="15">
        <v>0.1432757477350601</v>
      </c>
      <c r="C18" s="15">
        <v>0.35761309489149767</v>
      </c>
      <c r="D18" s="15">
        <v>0.99999999999999989</v>
      </c>
      <c r="E18" s="15">
        <v>0.1102296080395775</v>
      </c>
      <c r="F18" s="15">
        <v>0.44799364630180599</v>
      </c>
      <c r="G18" s="15">
        <v>0.364663939712008</v>
      </c>
      <c r="H18" s="15">
        <v>0.2132068658970642</v>
      </c>
    </row>
    <row r="19" spans="1:8" x14ac:dyDescent="0.2">
      <c r="A19" s="12" t="s">
        <v>11</v>
      </c>
      <c r="B19" s="15">
        <v>9.4924864918657051E-2</v>
      </c>
      <c r="C19" s="7">
        <v>-3.3382547416012071E-2</v>
      </c>
      <c r="D19" s="15">
        <v>0.1102296080395775</v>
      </c>
      <c r="E19" s="15">
        <v>1</v>
      </c>
      <c r="F19" s="15">
        <v>0.29280677242490788</v>
      </c>
      <c r="G19" s="15">
        <v>0.2396746979556986</v>
      </c>
      <c r="H19" s="15">
        <v>0.28958825598308963</v>
      </c>
    </row>
    <row r="20" spans="1:8" x14ac:dyDescent="0.2">
      <c r="A20" s="12" t="s">
        <v>12</v>
      </c>
      <c r="B20" s="15">
        <v>0.13352580615856369</v>
      </c>
      <c r="C20" s="15">
        <v>0.2222357007047924</v>
      </c>
      <c r="D20" s="15">
        <v>0.44799364630180599</v>
      </c>
      <c r="E20" s="15">
        <v>0.29280677242490788</v>
      </c>
      <c r="F20" s="15">
        <v>1</v>
      </c>
      <c r="G20" s="15">
        <v>0.59451960521833802</v>
      </c>
      <c r="H20" s="15">
        <v>0.34387470312134211</v>
      </c>
    </row>
    <row r="21" spans="1:8" x14ac:dyDescent="0.2">
      <c r="A21" s="12" t="s">
        <v>13</v>
      </c>
      <c r="B21" s="15">
        <v>0.1802027593574542</v>
      </c>
      <c r="C21" s="15">
        <v>0.1132547556420178</v>
      </c>
      <c r="D21" s="15">
        <v>0.364663939712008</v>
      </c>
      <c r="E21" s="15">
        <v>0.2396746979556986</v>
      </c>
      <c r="F21" s="15">
        <v>0.59451960521833802</v>
      </c>
      <c r="G21" s="15">
        <v>1</v>
      </c>
      <c r="H21" s="15">
        <v>0.144927584636142</v>
      </c>
    </row>
    <row r="22" spans="1:8" x14ac:dyDescent="0.2">
      <c r="A22" s="12" t="s">
        <v>14</v>
      </c>
      <c r="B22" s="7">
        <v>-3.0163244479713028E-2</v>
      </c>
      <c r="C22" s="15">
        <v>0.16344994209936331</v>
      </c>
      <c r="D22" s="15">
        <v>0.2132068658970642</v>
      </c>
      <c r="E22" s="15">
        <v>0.28958825598308963</v>
      </c>
      <c r="F22" s="15">
        <v>0.34387470312134211</v>
      </c>
      <c r="G22" s="15">
        <v>0.144927584636142</v>
      </c>
      <c r="H22" s="15">
        <v>1</v>
      </c>
    </row>
  </sheetData>
  <mergeCells count="2">
    <mergeCell ref="A13:F13"/>
    <mergeCell ref="A1:F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74926C-1E41-884C-85D7-7E852651BFD1}">
  <dimension ref="A1:P28"/>
  <sheetViews>
    <sheetView workbookViewId="0">
      <selection activeCell="T25" sqref="T25"/>
    </sheetView>
  </sheetViews>
  <sheetFormatPr baseColWidth="10" defaultRowHeight="15" x14ac:dyDescent="0.2"/>
  <cols>
    <col min="8" max="15" width="10.83203125" style="25"/>
  </cols>
  <sheetData>
    <row r="1" spans="1:14" x14ac:dyDescent="0.2">
      <c r="A1" t="s">
        <v>83</v>
      </c>
      <c r="B1" t="s">
        <v>84</v>
      </c>
      <c r="C1" t="s">
        <v>85</v>
      </c>
      <c r="D1" t="s">
        <v>86</v>
      </c>
      <c r="E1" t="s">
        <v>87</v>
      </c>
      <c r="F1" t="s">
        <v>88</v>
      </c>
      <c r="G1" t="s">
        <v>89</v>
      </c>
      <c r="H1" s="25" t="s">
        <v>8</v>
      </c>
      <c r="I1" s="25" t="s">
        <v>9</v>
      </c>
      <c r="J1" s="25" t="s">
        <v>10</v>
      </c>
      <c r="K1" s="25" t="s">
        <v>11</v>
      </c>
      <c r="L1" s="25" t="s">
        <v>12</v>
      </c>
      <c r="M1" s="25" t="s">
        <v>13</v>
      </c>
      <c r="N1" s="25" t="s">
        <v>14</v>
      </c>
    </row>
    <row r="2" spans="1:14" x14ac:dyDescent="0.2">
      <c r="A2">
        <v>1</v>
      </c>
      <c r="B2" s="27">
        <v>36571</v>
      </c>
      <c r="C2" s="27">
        <v>36609</v>
      </c>
      <c r="D2" s="27">
        <v>36630</v>
      </c>
      <c r="E2">
        <v>-11.436400000000001</v>
      </c>
      <c r="F2" t="s">
        <v>90</v>
      </c>
    </row>
    <row r="3" spans="1:14" x14ac:dyDescent="0.2">
      <c r="A3">
        <v>2</v>
      </c>
      <c r="B3" s="27">
        <v>36749</v>
      </c>
      <c r="C3" s="27">
        <v>36770</v>
      </c>
      <c r="D3" s="27">
        <v>36811</v>
      </c>
      <c r="E3">
        <v>-12.7049</v>
      </c>
      <c r="F3" t="s">
        <v>90</v>
      </c>
    </row>
    <row r="4" spans="1:14" x14ac:dyDescent="0.2">
      <c r="A4">
        <v>3</v>
      </c>
      <c r="B4" s="27">
        <v>36819</v>
      </c>
      <c r="C4" s="27">
        <v>36836</v>
      </c>
      <c r="D4" s="27">
        <v>36880</v>
      </c>
      <c r="E4">
        <v>-12.1928</v>
      </c>
      <c r="F4" t="s">
        <v>90</v>
      </c>
    </row>
    <row r="5" spans="1:14" x14ac:dyDescent="0.2">
      <c r="A5">
        <v>4</v>
      </c>
      <c r="B5" s="27">
        <v>36887</v>
      </c>
      <c r="C5" s="27">
        <v>36923</v>
      </c>
      <c r="D5" s="27">
        <v>36984</v>
      </c>
      <c r="E5">
        <v>-19.966699999999999</v>
      </c>
      <c r="F5" t="s">
        <v>90</v>
      </c>
    </row>
    <row r="6" spans="1:14" x14ac:dyDescent="0.2">
      <c r="A6">
        <v>5</v>
      </c>
      <c r="B6" s="27">
        <v>37082</v>
      </c>
      <c r="C6" s="27">
        <v>37105</v>
      </c>
      <c r="D6" s="27">
        <v>37155</v>
      </c>
      <c r="E6">
        <v>-20.658999999999999</v>
      </c>
      <c r="F6" t="s">
        <v>90</v>
      </c>
    </row>
    <row r="7" spans="1:14" x14ac:dyDescent="0.2">
      <c r="A7">
        <v>6</v>
      </c>
      <c r="B7" s="27">
        <v>37321</v>
      </c>
      <c r="C7" s="27">
        <v>37334</v>
      </c>
      <c r="D7" s="27">
        <v>37383</v>
      </c>
      <c r="E7">
        <v>-10.5151</v>
      </c>
      <c r="F7" t="s">
        <v>90</v>
      </c>
    </row>
    <row r="8" spans="1:14" x14ac:dyDescent="0.2">
      <c r="A8">
        <v>7</v>
      </c>
      <c r="B8" s="27">
        <v>37361</v>
      </c>
      <c r="C8" s="27">
        <v>37362</v>
      </c>
      <c r="D8" s="27">
        <v>37421</v>
      </c>
      <c r="E8">
        <v>-10.423999999999999</v>
      </c>
      <c r="F8" t="s">
        <v>90</v>
      </c>
    </row>
    <row r="9" spans="1:14" x14ac:dyDescent="0.2">
      <c r="A9">
        <v>8</v>
      </c>
      <c r="B9" s="27">
        <v>37369</v>
      </c>
      <c r="C9" s="27">
        <v>37393</v>
      </c>
      <c r="D9" s="27">
        <v>37460</v>
      </c>
      <c r="E9">
        <v>-27.908000000000001</v>
      </c>
      <c r="F9" t="s">
        <v>90</v>
      </c>
    </row>
    <row r="10" spans="1:14" x14ac:dyDescent="0.2">
      <c r="A10">
        <v>9</v>
      </c>
      <c r="B10" s="27">
        <v>37456</v>
      </c>
      <c r="C10" s="27">
        <v>37490</v>
      </c>
      <c r="D10" s="27">
        <v>37538</v>
      </c>
      <c r="E10">
        <v>-19.218</v>
      </c>
      <c r="F10" t="s">
        <v>90</v>
      </c>
    </row>
    <row r="11" spans="1:14" x14ac:dyDescent="0.2">
      <c r="A11">
        <v>10</v>
      </c>
      <c r="B11" s="27">
        <v>37587</v>
      </c>
      <c r="C11" s="27">
        <v>37587</v>
      </c>
      <c r="D11" s="27">
        <v>37651</v>
      </c>
      <c r="E11">
        <v>-10.4476</v>
      </c>
      <c r="F11" t="s">
        <v>90</v>
      </c>
    </row>
    <row r="12" spans="1:14" x14ac:dyDescent="0.2">
      <c r="A12">
        <v>11</v>
      </c>
      <c r="B12" s="27">
        <v>37596</v>
      </c>
      <c r="C12" s="27">
        <v>37635</v>
      </c>
      <c r="D12" s="27">
        <v>37691</v>
      </c>
      <c r="E12">
        <v>-13.7255</v>
      </c>
      <c r="F12" t="s">
        <v>90</v>
      </c>
    </row>
    <row r="13" spans="1:14" x14ac:dyDescent="0.2">
      <c r="A13">
        <v>12</v>
      </c>
      <c r="B13" s="27">
        <v>39401</v>
      </c>
      <c r="C13" s="27">
        <v>39426</v>
      </c>
      <c r="D13" s="27">
        <v>39469</v>
      </c>
      <c r="E13">
        <v>-14.045199999999999</v>
      </c>
      <c r="F13" t="s">
        <v>90</v>
      </c>
    </row>
    <row r="14" spans="1:14" x14ac:dyDescent="0.2">
      <c r="A14">
        <v>13</v>
      </c>
      <c r="B14" s="27">
        <v>39567</v>
      </c>
      <c r="C14" s="27">
        <v>39587</v>
      </c>
      <c r="D14" s="27">
        <v>39644</v>
      </c>
      <c r="E14">
        <v>-15.421200000000001</v>
      </c>
      <c r="F14" t="s">
        <v>90</v>
      </c>
    </row>
    <row r="15" spans="1:14" x14ac:dyDescent="0.2">
      <c r="A15">
        <v>14</v>
      </c>
      <c r="B15" s="27">
        <v>39647</v>
      </c>
      <c r="C15" s="27">
        <v>39671</v>
      </c>
      <c r="D15" s="27">
        <v>39881</v>
      </c>
      <c r="E15">
        <v>-47.892299999999999</v>
      </c>
      <c r="F15" t="s">
        <v>90</v>
      </c>
    </row>
    <row r="16" spans="1:14" x14ac:dyDescent="0.2">
      <c r="A16">
        <v>15</v>
      </c>
      <c r="B16" s="27">
        <v>40259</v>
      </c>
      <c r="C16" s="27">
        <v>40291</v>
      </c>
      <c r="D16" s="27">
        <v>40361</v>
      </c>
      <c r="E16">
        <v>-16.098800000000001</v>
      </c>
      <c r="F16" t="s">
        <v>90</v>
      </c>
    </row>
    <row r="17" spans="1:16" x14ac:dyDescent="0.2">
      <c r="A17">
        <v>16</v>
      </c>
      <c r="B17" s="27">
        <v>40700</v>
      </c>
      <c r="C17" s="27">
        <v>40731</v>
      </c>
      <c r="D17" s="27">
        <v>40819</v>
      </c>
      <c r="E17">
        <v>-18.786899999999999</v>
      </c>
      <c r="F17" t="s">
        <v>90</v>
      </c>
    </row>
    <row r="18" spans="1:16" x14ac:dyDescent="0.2">
      <c r="A18">
        <v>17</v>
      </c>
      <c r="B18" s="27">
        <v>42179</v>
      </c>
      <c r="C18" s="27">
        <v>42205</v>
      </c>
      <c r="D18" s="27">
        <v>42241</v>
      </c>
      <c r="E18">
        <v>-11.9102</v>
      </c>
      <c r="F18" t="s">
        <v>91</v>
      </c>
      <c r="G18">
        <v>26</v>
      </c>
      <c r="H18" s="25">
        <v>-11.910299999999999</v>
      </c>
      <c r="I18" s="25">
        <v>-0.45179999999999998</v>
      </c>
      <c r="J18" s="25">
        <v>2.0606</v>
      </c>
      <c r="K18" s="25">
        <v>0.3226</v>
      </c>
      <c r="L18" s="25">
        <v>-1.2039</v>
      </c>
      <c r="M18" s="25">
        <v>1.4259999999999999</v>
      </c>
      <c r="N18" s="25">
        <v>1.0328999999999999</v>
      </c>
      <c r="P18" s="28">
        <f>-SUMPRODUCT($I$28:$N$28,I18:N18)</f>
        <v>-0.29435502926587453</v>
      </c>
    </row>
    <row r="19" spans="1:16" x14ac:dyDescent="0.2">
      <c r="A19">
        <v>18</v>
      </c>
      <c r="B19" s="27">
        <v>42321</v>
      </c>
      <c r="C19" s="27">
        <v>42339</v>
      </c>
      <c r="D19" s="27">
        <v>42411</v>
      </c>
      <c r="E19">
        <v>-13.2049</v>
      </c>
      <c r="F19" t="s">
        <v>91</v>
      </c>
      <c r="G19">
        <v>49</v>
      </c>
      <c r="H19" s="25">
        <v>-12.6883</v>
      </c>
      <c r="I19" s="25">
        <v>0.29549999999999998</v>
      </c>
      <c r="J19" s="25">
        <v>1.5283</v>
      </c>
      <c r="K19" s="25">
        <v>1.9092</v>
      </c>
      <c r="L19" s="25">
        <v>-1.8468</v>
      </c>
      <c r="M19" s="25">
        <v>-6.7076000000000002</v>
      </c>
      <c r="N19" s="25">
        <v>4.4558999999999997</v>
      </c>
      <c r="P19" s="28">
        <f t="shared" ref="P19:P26" si="0">-SUMPRODUCT($I$28:$N$28,I19:N19)</f>
        <v>-0.30625205895510521</v>
      </c>
    </row>
    <row r="20" spans="1:16" x14ac:dyDescent="0.2">
      <c r="A20">
        <v>19</v>
      </c>
      <c r="B20" s="27">
        <v>43076</v>
      </c>
      <c r="C20" s="27">
        <v>43126</v>
      </c>
      <c r="D20" s="27">
        <v>43139</v>
      </c>
      <c r="E20">
        <v>-10.101900000000001</v>
      </c>
      <c r="F20" t="s">
        <v>91</v>
      </c>
      <c r="G20">
        <v>9</v>
      </c>
      <c r="H20" s="25">
        <v>-10.101900000000001</v>
      </c>
      <c r="I20" s="25">
        <v>2.6025</v>
      </c>
      <c r="J20" s="25">
        <v>-0.31850000000000001</v>
      </c>
      <c r="K20" s="25">
        <v>9.2299999999999993E-2</v>
      </c>
      <c r="L20" s="25">
        <v>-0.16339999999999999</v>
      </c>
      <c r="M20" s="25">
        <v>3.0966999999999998</v>
      </c>
      <c r="N20" s="25">
        <v>-1.3207</v>
      </c>
      <c r="P20" s="28">
        <f t="shared" si="0"/>
        <v>0.42836262085215898</v>
      </c>
    </row>
    <row r="21" spans="1:16" x14ac:dyDescent="0.2">
      <c r="A21">
        <v>20</v>
      </c>
      <c r="B21" s="27">
        <v>43391</v>
      </c>
      <c r="C21" s="27">
        <v>43411</v>
      </c>
      <c r="D21" s="27">
        <v>43458</v>
      </c>
      <c r="E21">
        <v>-16.607900000000001</v>
      </c>
      <c r="F21" t="s">
        <v>91</v>
      </c>
      <c r="G21">
        <v>31</v>
      </c>
      <c r="H21" s="25">
        <v>-16.120999999999999</v>
      </c>
      <c r="I21" s="25">
        <v>5.3164999999999996</v>
      </c>
      <c r="J21" s="25">
        <v>-1.8716999999999999</v>
      </c>
      <c r="K21" s="25">
        <v>-0.80630000000000002</v>
      </c>
      <c r="L21" s="25">
        <v>1.0878000000000001</v>
      </c>
      <c r="M21" s="25">
        <v>-1.1734</v>
      </c>
      <c r="N21" s="25">
        <v>1.6938</v>
      </c>
      <c r="P21" s="28">
        <f t="shared" si="0"/>
        <v>0.78832030350790272</v>
      </c>
    </row>
    <row r="22" spans="1:16" x14ac:dyDescent="0.2">
      <c r="A22">
        <v>21</v>
      </c>
      <c r="B22" s="27">
        <v>43825</v>
      </c>
      <c r="C22" s="27">
        <v>43880</v>
      </c>
      <c r="D22" s="27">
        <v>43913</v>
      </c>
      <c r="E22">
        <v>-34.104700000000001</v>
      </c>
      <c r="F22" t="s">
        <v>91</v>
      </c>
      <c r="G22">
        <v>23</v>
      </c>
      <c r="H22" s="25">
        <v>-33.717300000000002</v>
      </c>
      <c r="I22" s="25">
        <v>32.7926</v>
      </c>
      <c r="J22" s="25">
        <v>-6.3114999999999997</v>
      </c>
      <c r="K22" s="25">
        <v>-0.74250000000000005</v>
      </c>
      <c r="L22" s="25">
        <v>-3.0272000000000001</v>
      </c>
      <c r="M22" s="25">
        <v>-2.3041999999999998</v>
      </c>
      <c r="N22" s="25">
        <v>-3.7521</v>
      </c>
      <c r="P22" s="28">
        <f t="shared" si="0"/>
        <v>8.1446388197318917</v>
      </c>
    </row>
    <row r="23" spans="1:16" x14ac:dyDescent="0.2">
      <c r="A23">
        <v>22</v>
      </c>
      <c r="B23" s="27">
        <v>44551</v>
      </c>
      <c r="C23" s="27">
        <v>44564</v>
      </c>
      <c r="D23" s="27">
        <v>44628</v>
      </c>
      <c r="E23">
        <v>-12.865500000000001</v>
      </c>
      <c r="F23" t="s">
        <v>91</v>
      </c>
      <c r="G23">
        <v>44</v>
      </c>
      <c r="H23" s="25">
        <v>-12.865500000000001</v>
      </c>
      <c r="I23" s="25">
        <v>-8.9931000000000001</v>
      </c>
      <c r="J23" s="25">
        <v>-2.2126999999999999</v>
      </c>
      <c r="K23" s="25">
        <v>-2.1179000000000001</v>
      </c>
      <c r="L23" s="25">
        <v>3.1387</v>
      </c>
      <c r="M23" s="25">
        <v>0.36840000000000001</v>
      </c>
      <c r="N23" s="25">
        <v>-2.3485</v>
      </c>
      <c r="P23" s="28">
        <f t="shared" si="0"/>
        <v>-1.3422581432040299</v>
      </c>
    </row>
    <row r="24" spans="1:16" x14ac:dyDescent="0.2">
      <c r="A24">
        <v>23</v>
      </c>
      <c r="B24" s="27">
        <v>44621</v>
      </c>
      <c r="C24" s="27">
        <v>44649</v>
      </c>
      <c r="D24" s="27">
        <v>44729</v>
      </c>
      <c r="E24">
        <v>-20.732299999999999</v>
      </c>
      <c r="F24" t="s">
        <v>91</v>
      </c>
      <c r="G24">
        <v>56</v>
      </c>
      <c r="H24" s="25">
        <v>-20.389900000000001</v>
      </c>
      <c r="I24" s="25">
        <v>-4.5321999999999996</v>
      </c>
      <c r="J24" s="25">
        <v>-2.6495000000000002</v>
      </c>
      <c r="K24" s="25">
        <v>-0.66349999999999998</v>
      </c>
      <c r="L24" s="25">
        <v>2.0396999999999998</v>
      </c>
      <c r="M24" s="25">
        <v>1.2888999999999999</v>
      </c>
      <c r="N24" s="25">
        <v>-5.6399999999999999E-2</v>
      </c>
      <c r="P24" s="28">
        <f t="shared" si="0"/>
        <v>-1.3579579488897815</v>
      </c>
    </row>
    <row r="25" spans="1:16" x14ac:dyDescent="0.2">
      <c r="A25">
        <v>24</v>
      </c>
      <c r="B25" s="27">
        <v>44763</v>
      </c>
      <c r="C25" s="27">
        <v>44789</v>
      </c>
      <c r="D25" s="27">
        <v>44846</v>
      </c>
      <c r="E25">
        <v>-17.0212</v>
      </c>
      <c r="F25" t="s">
        <v>91</v>
      </c>
      <c r="G25">
        <v>40</v>
      </c>
      <c r="H25" s="25">
        <v>-16.680299999999999</v>
      </c>
      <c r="I25" s="25">
        <v>-4.7766000000000002</v>
      </c>
      <c r="J25" s="25">
        <v>13.780200000000001</v>
      </c>
      <c r="K25" s="25">
        <v>-0.80410000000000004</v>
      </c>
      <c r="L25" s="25">
        <v>-0.3528</v>
      </c>
      <c r="M25" s="25">
        <v>2.5933000000000002</v>
      </c>
      <c r="N25" s="25">
        <v>-2.7867000000000002</v>
      </c>
      <c r="P25" s="28">
        <f t="shared" si="0"/>
        <v>0.4801975748922524</v>
      </c>
    </row>
    <row r="26" spans="1:16" x14ac:dyDescent="0.2">
      <c r="A26">
        <v>25</v>
      </c>
      <c r="B26" s="27">
        <v>45667</v>
      </c>
      <c r="C26" s="27">
        <v>45707</v>
      </c>
      <c r="D26" s="27">
        <v>45755</v>
      </c>
      <c r="E26">
        <v>-18.998899999999999</v>
      </c>
      <c r="F26" t="s">
        <v>91</v>
      </c>
      <c r="G26">
        <v>34</v>
      </c>
      <c r="H26" s="25">
        <v>-18.755199999999999</v>
      </c>
      <c r="I26" s="25">
        <v>-8.2065999999999999</v>
      </c>
      <c r="J26" s="25">
        <v>0.88139999999999996</v>
      </c>
      <c r="K26" s="25">
        <v>0.62490000000000001</v>
      </c>
      <c r="L26" s="25">
        <v>0.78500000000000003</v>
      </c>
      <c r="M26" s="25">
        <v>-3.0072000000000001</v>
      </c>
      <c r="N26" s="25">
        <v>4.1268000000000002</v>
      </c>
      <c r="P26" s="28">
        <f t="shared" si="0"/>
        <v>-2.5034076027993475</v>
      </c>
    </row>
    <row r="28" spans="1:16" x14ac:dyDescent="0.2">
      <c r="H28" s="25">
        <f>SUMIFS('Stress Test'!$B$13:$B$19,'Stress Test'!$A$13:$A$19,Sheet1!H1)</f>
        <v>0.75022948994875527</v>
      </c>
      <c r="I28" s="25">
        <f>SUMIFS('Stress Test'!$B$13:$B$19,'Stress Test'!$A$13:$A$19,Sheet1!I1)</f>
        <v>-0.20412289072368769</v>
      </c>
      <c r="J28" s="25">
        <f>SUMIFS('Stress Test'!$B$13:$B$19,'Stress Test'!$A$13:$A$19,Sheet1!J1)</f>
        <v>-6.1501563512325587E-2</v>
      </c>
      <c r="K28" s="25">
        <f>SUMIFS('Stress Test'!$B$13:$B$19,'Stress Test'!$A$13:$A$19,Sheet1!K1)</f>
        <v>0.28688916792646768</v>
      </c>
      <c r="L28" s="25">
        <f>SUMIFS('Stress Test'!$B$13:$B$19,'Stress Test'!$A$13:$A$19,Sheet1!L1)</f>
        <v>0.1526052721309526</v>
      </c>
      <c r="M28" s="25">
        <f>SUMIFS('Stress Test'!$B$13:$B$19,'Stress Test'!$A$13:$A$19,Sheet1!M1)</f>
        <v>0.12577227239562311</v>
      </c>
      <c r="N28" s="25">
        <f>SUMIFS('Stress Test'!$B$13:$B$19,'Stress Test'!$A$13:$A$19,Sheet1!N1)</f>
        <v>0.23301598423819089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Summary</vt:lpstr>
      <vt:lpstr>Positions</vt:lpstr>
      <vt:lpstr>Factor Loadings</vt:lpstr>
      <vt:lpstr>Risk Decomposition</vt:lpstr>
      <vt:lpstr>Breadth</vt:lpstr>
      <vt:lpstr>Stress Test</vt:lpstr>
      <vt:lpstr>Factor Covariance</vt:lpstr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Terence O'Brien</cp:lastModifiedBy>
  <dcterms:created xsi:type="dcterms:W3CDTF">2026-08-21T16:01:57Z</dcterms:created>
  <dcterms:modified xsi:type="dcterms:W3CDTF">2026-08-24T05:26:50Z</dcterms:modified>
</cp:coreProperties>
</file>